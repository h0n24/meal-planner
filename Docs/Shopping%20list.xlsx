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1eafc423444527fa/Documents/Organizace/Strava/"/>
    </mc:Choice>
  </mc:AlternateContent>
  <xr:revisionPtr revIDLastSave="3988" documentId="8_{690A4EED-353A-4B65-923E-C4784CEC09D0}" xr6:coauthVersionLast="47" xr6:coauthVersionMax="47" xr10:uidLastSave="{3B75F87B-6EA5-403B-B4D2-52D0C9B91626}"/>
  <bookViews>
    <workbookView xWindow="1320" yWindow="12852" windowWidth="23256" windowHeight="12456" activeTab="1" xr2:uid="{39489D31-4B15-4D98-AE23-496808FED8FC}"/>
  </bookViews>
  <sheets>
    <sheet name="Nákupní seznam" sheetId="1" r:id="rId1"/>
    <sheet name="Recept" sheetId="2" r:id="rId2"/>
    <sheet name="Špajz" sheetId="3" state="hidden" r:id="rId3"/>
  </sheets>
  <definedNames>
    <definedName name="_xlnm._FilterDatabase" localSheetId="0" hidden="1">'Nákupní seznam'!$A$1:$F$207</definedName>
    <definedName name="_xlnm._FilterDatabase" localSheetId="1" hidden="1">Recept!$A$1:$H$71</definedName>
    <definedName name="_xlnm._FilterDatabase" localSheetId="2" hidden="1">Špajz!$A$1:$D$188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1" i="2" l="1"/>
  <c r="F185" i="2"/>
  <c r="F83" i="2"/>
  <c r="F84" i="2"/>
  <c r="F85" i="2"/>
  <c r="F86" i="2"/>
  <c r="F81" i="2"/>
  <c r="F28" i="2" l="1"/>
  <c r="F45" i="2"/>
  <c r="A124" i="1"/>
  <c r="D124" i="1" s="1"/>
  <c r="A195" i="1"/>
  <c r="D195" i="1" s="1"/>
  <c r="F34" i="2"/>
  <c r="F33" i="2"/>
  <c r="F35" i="2"/>
  <c r="F36" i="2"/>
  <c r="A89" i="1" s="1"/>
  <c r="D89" i="1" s="1"/>
  <c r="F32" i="2"/>
  <c r="F70" i="2"/>
  <c r="A4" i="1"/>
  <c r="D4" i="1" s="1"/>
  <c r="A5" i="1"/>
  <c r="D5" i="1" s="1"/>
  <c r="A6" i="1"/>
  <c r="A7" i="1"/>
  <c r="D7" i="1" s="1"/>
  <c r="A9" i="1"/>
  <c r="A32" i="1"/>
  <c r="D32" i="1" s="1"/>
  <c r="A33" i="1"/>
  <c r="D33" i="1" s="1"/>
  <c r="A38" i="1"/>
  <c r="A39" i="1"/>
  <c r="D39" i="1" s="1"/>
  <c r="A42" i="1"/>
  <c r="D42" i="1" s="1"/>
  <c r="A43" i="1"/>
  <c r="D43" i="1" s="1"/>
  <c r="A49" i="1"/>
  <c r="D49" i="1" s="1"/>
  <c r="A50" i="1"/>
  <c r="D50" i="1" s="1"/>
  <c r="A54" i="1"/>
  <c r="D54" i="1" s="1"/>
  <c r="A55" i="1"/>
  <c r="D55" i="1" s="1"/>
  <c r="A56" i="1"/>
  <c r="A64" i="1"/>
  <c r="D64" i="1" s="1"/>
  <c r="A65" i="1"/>
  <c r="D65" i="1" s="1"/>
  <c r="A75" i="1"/>
  <c r="D75" i="1" s="1"/>
  <c r="A78" i="1"/>
  <c r="A85" i="1"/>
  <c r="D85" i="1" s="1"/>
  <c r="A87" i="1"/>
  <c r="A98" i="1"/>
  <c r="D98" i="1" s="1"/>
  <c r="A99" i="1"/>
  <c r="A100" i="1"/>
  <c r="D100" i="1" s="1"/>
  <c r="A101" i="1"/>
  <c r="D101" i="1" s="1"/>
  <c r="A103" i="1"/>
  <c r="D103" i="1" s="1"/>
  <c r="A105" i="1"/>
  <c r="D105" i="1" s="1"/>
  <c r="A106" i="1"/>
  <c r="D106" i="1" s="1"/>
  <c r="A107" i="1"/>
  <c r="D107" i="1" s="1"/>
  <c r="A108" i="1"/>
  <c r="D108" i="1" s="1"/>
  <c r="A109" i="1"/>
  <c r="D109" i="1" s="1"/>
  <c r="A110" i="1"/>
  <c r="D110" i="1" s="1"/>
  <c r="A111" i="1"/>
  <c r="D111" i="1" s="1"/>
  <c r="A112" i="1"/>
  <c r="D112" i="1" s="1"/>
  <c r="A113" i="1"/>
  <c r="D113" i="1" s="1"/>
  <c r="A114" i="1"/>
  <c r="D114" i="1" s="1"/>
  <c r="A115" i="1"/>
  <c r="D115" i="1" s="1"/>
  <c r="A116" i="1"/>
  <c r="D116" i="1" s="1"/>
  <c r="A117" i="1"/>
  <c r="D117" i="1" s="1"/>
  <c r="A118" i="1"/>
  <c r="D118" i="1" s="1"/>
  <c r="A119" i="1"/>
  <c r="D119" i="1" s="1"/>
  <c r="A120" i="1"/>
  <c r="D120" i="1" s="1"/>
  <c r="A122" i="1"/>
  <c r="D122" i="1" s="1"/>
  <c r="A123" i="1"/>
  <c r="D123" i="1" s="1"/>
  <c r="A125" i="1"/>
  <c r="D125" i="1" s="1"/>
  <c r="A126" i="1"/>
  <c r="D126" i="1" s="1"/>
  <c r="A128" i="1"/>
  <c r="D128" i="1" s="1"/>
  <c r="A129" i="1"/>
  <c r="D129" i="1" s="1"/>
  <c r="A130" i="1"/>
  <c r="D130" i="1" s="1"/>
  <c r="A132" i="1"/>
  <c r="D132" i="1" s="1"/>
  <c r="A133" i="1"/>
  <c r="D133" i="1" s="1"/>
  <c r="A135" i="1"/>
  <c r="D135" i="1" s="1"/>
  <c r="A136" i="1"/>
  <c r="D136" i="1" s="1"/>
  <c r="A137" i="1"/>
  <c r="D137" i="1" s="1"/>
  <c r="A138" i="1"/>
  <c r="D138" i="1" s="1"/>
  <c r="A139" i="1"/>
  <c r="D139" i="1" s="1"/>
  <c r="A140" i="1"/>
  <c r="D140" i="1" s="1"/>
  <c r="A141" i="1"/>
  <c r="D141" i="1" s="1"/>
  <c r="A142" i="1"/>
  <c r="A143" i="1"/>
  <c r="D143" i="1" s="1"/>
  <c r="A144" i="1"/>
  <c r="D144" i="1" s="1"/>
  <c r="A146" i="1"/>
  <c r="D146" i="1" s="1"/>
  <c r="A147" i="1"/>
  <c r="D147" i="1" s="1"/>
  <c r="A148" i="1"/>
  <c r="D148" i="1" s="1"/>
  <c r="A149" i="1"/>
  <c r="A150" i="1"/>
  <c r="D150" i="1" s="1"/>
  <c r="A151" i="1"/>
  <c r="D151" i="1" s="1"/>
  <c r="A152" i="1"/>
  <c r="D152" i="1" s="1"/>
  <c r="A153" i="1"/>
  <c r="D153" i="1" s="1"/>
  <c r="A154" i="1"/>
  <c r="D154" i="1" s="1"/>
  <c r="A155" i="1"/>
  <c r="D155" i="1" s="1"/>
  <c r="A156" i="1"/>
  <c r="D156" i="1" s="1"/>
  <c r="A157" i="1"/>
  <c r="D157" i="1" s="1"/>
  <c r="A158" i="1"/>
  <c r="D158" i="1" s="1"/>
  <c r="A159" i="1"/>
  <c r="D159" i="1" s="1"/>
  <c r="A160" i="1"/>
  <c r="D160" i="1" s="1"/>
  <c r="A162" i="1"/>
  <c r="D162" i="1" s="1"/>
  <c r="A163" i="1"/>
  <c r="D163" i="1" s="1"/>
  <c r="A164" i="1"/>
  <c r="D164" i="1" s="1"/>
  <c r="A165" i="1"/>
  <c r="D165" i="1" s="1"/>
  <c r="A166" i="1"/>
  <c r="D166" i="1" s="1"/>
  <c r="A167" i="1"/>
  <c r="D167" i="1" s="1"/>
  <c r="A168" i="1"/>
  <c r="D168" i="1" s="1"/>
  <c r="A169" i="1"/>
  <c r="D169" i="1" s="1"/>
  <c r="A170" i="1"/>
  <c r="D170" i="1" s="1"/>
  <c r="A171" i="1"/>
  <c r="D171" i="1" s="1"/>
  <c r="A172" i="1"/>
  <c r="D172" i="1" s="1"/>
  <c r="A173" i="1"/>
  <c r="D173" i="1" s="1"/>
  <c r="A174" i="1"/>
  <c r="D174" i="1" s="1"/>
  <c r="A175" i="1"/>
  <c r="A176" i="1"/>
  <c r="D176" i="1" s="1"/>
  <c r="A177" i="1"/>
  <c r="D177" i="1" s="1"/>
  <c r="A178" i="1"/>
  <c r="A179" i="1"/>
  <c r="D179" i="1" s="1"/>
  <c r="A180" i="1"/>
  <c r="D180" i="1" s="1"/>
  <c r="A181" i="1"/>
  <c r="D181" i="1" s="1"/>
  <c r="A182" i="1"/>
  <c r="D182" i="1" s="1"/>
  <c r="A183" i="1"/>
  <c r="D183" i="1" s="1"/>
  <c r="A184" i="1"/>
  <c r="D184" i="1" s="1"/>
  <c r="A185" i="1"/>
  <c r="D185" i="1" s="1"/>
  <c r="A186" i="1"/>
  <c r="D186" i="1" s="1"/>
  <c r="A187" i="1"/>
  <c r="A188" i="1"/>
  <c r="D188" i="1" s="1"/>
  <c r="A189" i="1"/>
  <c r="D189" i="1" s="1"/>
  <c r="A190" i="1"/>
  <c r="D190" i="1" s="1"/>
  <c r="A191" i="1"/>
  <c r="D191" i="1" s="1"/>
  <c r="A192" i="1"/>
  <c r="D192" i="1" s="1"/>
  <c r="A193" i="1"/>
  <c r="D193" i="1" s="1"/>
  <c r="A194" i="1"/>
  <c r="D194" i="1" s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F157" i="2"/>
  <c r="A79" i="1" s="1"/>
  <c r="D79" i="1" s="1"/>
  <c r="F156" i="2"/>
  <c r="F114" i="2"/>
  <c r="F115" i="2"/>
  <c r="F67" i="2"/>
  <c r="F68" i="2"/>
  <c r="A70" i="1" s="1"/>
  <c r="D70" i="1" s="1"/>
  <c r="F69" i="2"/>
  <c r="F71" i="2"/>
  <c r="F66" i="2"/>
  <c r="A74" i="1" s="1"/>
  <c r="D74" i="1" s="1"/>
  <c r="F145" i="2"/>
  <c r="A35" i="1" s="1"/>
  <c r="D35" i="1" s="1"/>
  <c r="F146" i="2"/>
  <c r="F147" i="2"/>
  <c r="F144" i="2"/>
  <c r="F139" i="2"/>
  <c r="F140" i="2"/>
  <c r="F141" i="2"/>
  <c r="F142" i="2"/>
  <c r="A15" i="1" s="1"/>
  <c r="D15" i="1" s="1"/>
  <c r="F143" i="2"/>
  <c r="F138" i="2"/>
  <c r="F183" i="2"/>
  <c r="A91" i="1" s="1"/>
  <c r="D91" i="1" s="1"/>
  <c r="F184" i="2"/>
  <c r="A88" i="1" s="1"/>
  <c r="D88" i="1" s="1"/>
  <c r="F182" i="2"/>
  <c r="A97" i="1" s="1"/>
  <c r="D97" i="1" s="1"/>
  <c r="F178" i="2"/>
  <c r="F179" i="2"/>
  <c r="F180" i="2"/>
  <c r="F181" i="2"/>
  <c r="F177" i="2"/>
  <c r="A44" i="1" s="1"/>
  <c r="D44" i="1" s="1"/>
  <c r="F73" i="2"/>
  <c r="F74" i="2"/>
  <c r="F75" i="2"/>
  <c r="F76" i="2"/>
  <c r="F77" i="2"/>
  <c r="F72" i="2"/>
  <c r="A94" i="1" s="1"/>
  <c r="D94" i="1" s="1"/>
  <c r="F88" i="2"/>
  <c r="F89" i="2"/>
  <c r="F90" i="2"/>
  <c r="F91" i="2"/>
  <c r="F92" i="2"/>
  <c r="F87" i="2"/>
  <c r="F128" i="2"/>
  <c r="A73" i="1" s="1"/>
  <c r="D73" i="1" s="1"/>
  <c r="F129" i="2"/>
  <c r="F130" i="2"/>
  <c r="F131" i="2"/>
  <c r="A145" i="1" s="1"/>
  <c r="D145" i="1" s="1"/>
  <c r="F127" i="2"/>
  <c r="F125" i="2"/>
  <c r="F126" i="2"/>
  <c r="A21" i="1" s="1"/>
  <c r="D21" i="1" s="1"/>
  <c r="F124" i="2"/>
  <c r="F117" i="2"/>
  <c r="A93" i="1" s="1"/>
  <c r="D93" i="1" s="1"/>
  <c r="F118" i="2"/>
  <c r="F119" i="2"/>
  <c r="F120" i="2"/>
  <c r="F121" i="2"/>
  <c r="F122" i="2"/>
  <c r="F123" i="2"/>
  <c r="F116" i="2"/>
  <c r="A53" i="1" s="1"/>
  <c r="D53" i="1" s="1"/>
  <c r="F113" i="2"/>
  <c r="F79" i="2"/>
  <c r="A71" i="1" s="1"/>
  <c r="D71" i="1" s="1"/>
  <c r="F80" i="2"/>
  <c r="F78" i="2"/>
  <c r="A86" i="1" s="1"/>
  <c r="D86" i="1" s="1"/>
  <c r="F101" i="2"/>
  <c r="F102" i="2"/>
  <c r="F103" i="2"/>
  <c r="F104" i="2"/>
  <c r="F100" i="2"/>
  <c r="A40" i="1" s="1"/>
  <c r="D40" i="1" s="1"/>
  <c r="F96" i="2"/>
  <c r="A60" i="1" s="1"/>
  <c r="D60" i="1" s="1"/>
  <c r="F97" i="2"/>
  <c r="A82" i="1" s="1"/>
  <c r="D82" i="1" s="1"/>
  <c r="F98" i="2"/>
  <c r="A63" i="1" s="1"/>
  <c r="D63" i="1" s="1"/>
  <c r="F99" i="2"/>
  <c r="F95" i="2"/>
  <c r="G177" i="2"/>
  <c r="G178" i="2"/>
  <c r="G179" i="2"/>
  <c r="G180" i="2"/>
  <c r="G181" i="2"/>
  <c r="G182" i="2"/>
  <c r="G183" i="2"/>
  <c r="G184" i="2"/>
  <c r="G138" i="2"/>
  <c r="G139" i="2"/>
  <c r="G140" i="2"/>
  <c r="G141" i="2"/>
  <c r="G142" i="2"/>
  <c r="G143" i="2"/>
  <c r="G144" i="2"/>
  <c r="G145" i="2"/>
  <c r="G146" i="2"/>
  <c r="G147" i="2"/>
  <c r="G66" i="2"/>
  <c r="G67" i="2"/>
  <c r="G68" i="2"/>
  <c r="G69" i="2"/>
  <c r="G71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2" i="2"/>
  <c r="G63" i="2"/>
  <c r="G64" i="2"/>
  <c r="G65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F175" i="2"/>
  <c r="A95" i="1" s="1"/>
  <c r="D95" i="1" s="1"/>
  <c r="F176" i="2"/>
  <c r="A90" i="1" s="1"/>
  <c r="D90" i="1" s="1"/>
  <c r="F165" i="2"/>
  <c r="A68" i="1" s="1"/>
  <c r="D68" i="1" s="1"/>
  <c r="F166" i="2"/>
  <c r="A104" i="1" s="1"/>
  <c r="D104" i="1" s="1"/>
  <c r="F167" i="2"/>
  <c r="A59" i="1" s="1"/>
  <c r="D59" i="1" s="1"/>
  <c r="F168" i="2"/>
  <c r="F169" i="2"/>
  <c r="A127" i="1" s="1"/>
  <c r="D127" i="1" s="1"/>
  <c r="F170" i="2"/>
  <c r="A62" i="1" s="1"/>
  <c r="D62" i="1" s="1"/>
  <c r="F171" i="2"/>
  <c r="F172" i="2"/>
  <c r="F173" i="2"/>
  <c r="F164" i="2"/>
  <c r="F174" i="2"/>
  <c r="A92" i="1" s="1"/>
  <c r="D92" i="1" s="1"/>
  <c r="F159" i="2"/>
  <c r="F160" i="2"/>
  <c r="F161" i="2"/>
  <c r="F158" i="2"/>
  <c r="F154" i="2"/>
  <c r="F155" i="2"/>
  <c r="F153" i="2"/>
  <c r="F152" i="2"/>
  <c r="F151" i="2"/>
  <c r="F150" i="2"/>
  <c r="F149" i="2"/>
  <c r="A37" i="1" s="1"/>
  <c r="D37" i="1" s="1"/>
  <c r="F163" i="2"/>
  <c r="F63" i="2"/>
  <c r="F64" i="2"/>
  <c r="A48" i="1" s="1"/>
  <c r="D48" i="1" s="1"/>
  <c r="F65" i="2"/>
  <c r="F62" i="2"/>
  <c r="F58" i="2"/>
  <c r="F59" i="2"/>
  <c r="F60" i="2"/>
  <c r="F57" i="2"/>
  <c r="F55" i="2"/>
  <c r="F56" i="2"/>
  <c r="F54" i="2"/>
  <c r="F52" i="2"/>
  <c r="F53" i="2"/>
  <c r="F51" i="2"/>
  <c r="F49" i="2"/>
  <c r="F50" i="2"/>
  <c r="F48" i="2"/>
  <c r="F47" i="2"/>
  <c r="F44" i="2"/>
  <c r="A67" i="1" s="1"/>
  <c r="D67" i="1" s="1"/>
  <c r="G44" i="2"/>
  <c r="F46" i="2"/>
  <c r="F39" i="2"/>
  <c r="A76" i="1" s="1"/>
  <c r="D76" i="1" s="1"/>
  <c r="F40" i="2"/>
  <c r="F41" i="2"/>
  <c r="F42" i="2"/>
  <c r="F43" i="2"/>
  <c r="G42" i="2"/>
  <c r="G41" i="2"/>
  <c r="G30" i="2"/>
  <c r="G31" i="2"/>
  <c r="G95" i="2"/>
  <c r="G96" i="2"/>
  <c r="G97" i="2"/>
  <c r="G98" i="2"/>
  <c r="G99" i="2"/>
  <c r="G100" i="2"/>
  <c r="G101" i="2"/>
  <c r="G102" i="2"/>
  <c r="G103" i="2"/>
  <c r="G104" i="2"/>
  <c r="G78" i="2"/>
  <c r="G79" i="2"/>
  <c r="G80" i="2"/>
  <c r="G81" i="2"/>
  <c r="G8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39" i="2"/>
  <c r="G40" i="2"/>
  <c r="G43" i="2"/>
  <c r="G72" i="2"/>
  <c r="G73" i="2"/>
  <c r="G74" i="2"/>
  <c r="G75" i="2"/>
  <c r="G76" i="2"/>
  <c r="G77" i="2"/>
  <c r="G46" i="2"/>
  <c r="F30" i="2"/>
  <c r="F31" i="2"/>
  <c r="F27" i="2"/>
  <c r="G27" i="2"/>
  <c r="F29" i="2"/>
  <c r="G29" i="2"/>
  <c r="F26" i="2"/>
  <c r="G26" i="2"/>
  <c r="F24" i="2"/>
  <c r="A14" i="1" s="1"/>
  <c r="D14" i="1" s="1"/>
  <c r="G24" i="2"/>
  <c r="F25" i="2"/>
  <c r="G25" i="2"/>
  <c r="F23" i="2"/>
  <c r="G23" i="2"/>
  <c r="F21" i="2"/>
  <c r="A81" i="1" s="1"/>
  <c r="D81" i="1" s="1"/>
  <c r="G21" i="2"/>
  <c r="F22" i="2"/>
  <c r="G22" i="2"/>
  <c r="F20" i="2"/>
  <c r="G20" i="2"/>
  <c r="F19" i="2"/>
  <c r="F17" i="2"/>
  <c r="F18" i="2"/>
  <c r="G16" i="2"/>
  <c r="F16" i="2"/>
  <c r="G17" i="2"/>
  <c r="G18" i="2"/>
  <c r="G19" i="2"/>
  <c r="G4" i="2"/>
  <c r="G5" i="2"/>
  <c r="G6" i="2"/>
  <c r="G7" i="2"/>
  <c r="G8" i="2"/>
  <c r="G9" i="2"/>
  <c r="G10" i="2"/>
  <c r="G11" i="2"/>
  <c r="G12" i="2"/>
  <c r="G13" i="2"/>
  <c r="G14" i="2"/>
  <c r="G15" i="2"/>
  <c r="D3" i="3"/>
  <c r="G3" i="2"/>
  <c r="F12" i="2"/>
  <c r="A22" i="1" s="1"/>
  <c r="D22" i="1" s="1"/>
  <c r="F11" i="2"/>
  <c r="F10" i="2"/>
  <c r="A34" i="1" s="1"/>
  <c r="D34" i="1" s="1"/>
  <c r="F9" i="2"/>
  <c r="F8" i="2"/>
  <c r="F7" i="2"/>
  <c r="F6" i="2"/>
  <c r="F5" i="2"/>
  <c r="F4" i="2"/>
  <c r="F3" i="2"/>
  <c r="F14" i="2"/>
  <c r="F15" i="2"/>
  <c r="F13" i="2"/>
  <c r="A3" i="1"/>
  <c r="D3" i="1" s="1"/>
  <c r="A84" i="1" l="1"/>
  <c r="D84" i="1" s="1"/>
  <c r="A121" i="1"/>
  <c r="D121" i="1" s="1"/>
  <c r="A102" i="1"/>
  <c r="D102" i="1" s="1"/>
  <c r="A27" i="1"/>
  <c r="D27" i="1" s="1"/>
  <c r="A13" i="1"/>
  <c r="D13" i="1" s="1"/>
  <c r="A58" i="1"/>
  <c r="D58" i="1" s="1"/>
  <c r="A23" i="1"/>
  <c r="D23" i="1" s="1"/>
  <c r="A16" i="1"/>
  <c r="D16" i="1" s="1"/>
  <c r="A29" i="1"/>
  <c r="D29" i="1" s="1"/>
  <c r="A46" i="1"/>
  <c r="D46" i="1" s="1"/>
  <c r="A131" i="1"/>
  <c r="D131" i="1" s="1"/>
  <c r="A66" i="1"/>
  <c r="D66" i="1" s="1"/>
  <c r="A30" i="1"/>
  <c r="D30" i="1" s="1"/>
  <c r="A96" i="1"/>
  <c r="D96" i="1" s="1"/>
  <c r="A31" i="1"/>
  <c r="D31" i="1" s="1"/>
  <c r="A69" i="1"/>
  <c r="D69" i="1" s="1"/>
  <c r="A41" i="1"/>
  <c r="D41" i="1" s="1"/>
  <c r="A26" i="1"/>
  <c r="D26" i="1" s="1"/>
  <c r="A57" i="1"/>
  <c r="D57" i="1" s="1"/>
  <c r="A11" i="1"/>
  <c r="D11" i="1" s="1"/>
  <c r="A36" i="1"/>
  <c r="D36" i="1" s="1"/>
  <c r="A61" i="1"/>
  <c r="D61" i="1" s="1"/>
  <c r="A8" i="1"/>
  <c r="D8" i="1" s="1"/>
  <c r="A134" i="1"/>
  <c r="D134" i="1" s="1"/>
  <c r="A72" i="1"/>
  <c r="D72" i="1" s="1"/>
  <c r="A12" i="1"/>
  <c r="D12" i="1" s="1"/>
  <c r="A10" i="1"/>
  <c r="D10" i="1" s="1"/>
  <c r="A51" i="1"/>
  <c r="D51" i="1" s="1"/>
  <c r="A47" i="1"/>
  <c r="D47" i="1" s="1"/>
  <c r="A17" i="1"/>
  <c r="D17" i="1" s="1"/>
  <c r="A83" i="1"/>
  <c r="D83" i="1" s="1"/>
  <c r="A18" i="1"/>
  <c r="D18" i="1" s="1"/>
  <c r="A28" i="1"/>
  <c r="D28" i="1" s="1"/>
  <c r="A77" i="1"/>
  <c r="D77" i="1" s="1"/>
  <c r="A80" i="1"/>
  <c r="D80" i="1" s="1"/>
  <c r="A45" i="1"/>
  <c r="D45" i="1" s="1"/>
  <c r="A52" i="1"/>
  <c r="D52" i="1" s="1"/>
  <c r="A19" i="1"/>
  <c r="D19" i="1" s="1"/>
  <c r="A25" i="1"/>
  <c r="D25" i="1" s="1"/>
  <c r="A24" i="1"/>
  <c r="D24" i="1" s="1"/>
  <c r="A20" i="1"/>
  <c r="D20" i="1" s="1"/>
</calcChain>
</file>

<file path=xl/sharedStrings.xml><?xml version="1.0" encoding="utf-8"?>
<sst xmlns="http://schemas.openxmlformats.org/spreadsheetml/2006/main" count="801" uniqueCount="265">
  <si>
    <t>Množství recepty</t>
  </si>
  <si>
    <t>Množství špajz</t>
  </si>
  <si>
    <t>Kontrola</t>
  </si>
  <si>
    <t>Množství celkem</t>
  </si>
  <si>
    <t>Typ</t>
  </si>
  <si>
    <t>Věc</t>
  </si>
  <si>
    <t>Cereálie a sladkosti</t>
  </si>
  <si>
    <t>ks</t>
  </si>
  <si>
    <t>čokoláda</t>
  </si>
  <si>
    <t>gr</t>
  </si>
  <si>
    <t>musli</t>
  </si>
  <si>
    <t>Pečivo</t>
  </si>
  <si>
    <t>Tortilla</t>
  </si>
  <si>
    <t>Ovoce &amp; Zelenina</t>
  </si>
  <si>
    <t>cherry rajčatka</t>
  </si>
  <si>
    <t>baby špenát</t>
  </si>
  <si>
    <t>banán</t>
  </si>
  <si>
    <t>brambory</t>
  </si>
  <si>
    <t>brokolice</t>
  </si>
  <si>
    <t>červená cibule</t>
  </si>
  <si>
    <t>česnek</t>
  </si>
  <si>
    <t>cibule</t>
  </si>
  <si>
    <t>citrón</t>
  </si>
  <si>
    <t>fazolky</t>
  </si>
  <si>
    <t>hruška</t>
  </si>
  <si>
    <t>jablko</t>
  </si>
  <si>
    <t>jarní cibulka</t>
  </si>
  <si>
    <t>mrkev</t>
  </si>
  <si>
    <t>okurka</t>
  </si>
  <si>
    <t>paprika zelená</t>
  </si>
  <si>
    <t>pomeranč</t>
  </si>
  <si>
    <t>pórek</t>
  </si>
  <si>
    <t>ředkvičky</t>
  </si>
  <si>
    <t>salát</t>
  </si>
  <si>
    <t>salát mix</t>
  </si>
  <si>
    <t>švestka</t>
  </si>
  <si>
    <t>zázvor</t>
  </si>
  <si>
    <t>žampiony</t>
  </si>
  <si>
    <t>Maso &amp; Uzeniny</t>
  </si>
  <si>
    <t>bůček</t>
  </si>
  <si>
    <t>hovězí kližka</t>
  </si>
  <si>
    <t>hovězí steak</t>
  </si>
  <si>
    <t>klobása</t>
  </si>
  <si>
    <t>kosti na vývar</t>
  </si>
  <si>
    <t>kuřecí kosti</t>
  </si>
  <si>
    <t>kuřecí prsa</t>
  </si>
  <si>
    <t>losos</t>
  </si>
  <si>
    <t>mleté maso</t>
  </si>
  <si>
    <t>slanina</t>
  </si>
  <si>
    <t>steak</t>
  </si>
  <si>
    <t>šunka</t>
  </si>
  <si>
    <t>vepřová panenka</t>
  </si>
  <si>
    <t>vepřová plec</t>
  </si>
  <si>
    <t>vepřový bok</t>
  </si>
  <si>
    <t>Chlazené potraviny</t>
  </si>
  <si>
    <t xml:space="preserve"> jogurty</t>
  </si>
  <si>
    <t>cheddar</t>
  </si>
  <si>
    <t>eidam plátkový</t>
  </si>
  <si>
    <t>eidam v celku</t>
  </si>
  <si>
    <t>listové těsto</t>
  </si>
  <si>
    <t>majonéza</t>
  </si>
  <si>
    <t>máslo</t>
  </si>
  <si>
    <t>ml</t>
  </si>
  <si>
    <t>mléko</t>
  </si>
  <si>
    <t>mražené ovoce</t>
  </si>
  <si>
    <t>niva</t>
  </si>
  <si>
    <t>parmazán</t>
  </si>
  <si>
    <t>pomazánkové máslo</t>
  </si>
  <si>
    <t>smetana na vaření</t>
  </si>
  <si>
    <t>tavený sýr</t>
  </si>
  <si>
    <t>tofu</t>
  </si>
  <si>
    <t>vejce</t>
  </si>
  <si>
    <t>Konzervované potraviny</t>
  </si>
  <si>
    <t>bazalka</t>
  </si>
  <si>
    <t>bobkový list</t>
  </si>
  <si>
    <t>česnek granulovaný</t>
  </si>
  <si>
    <t>cukr krystal</t>
  </si>
  <si>
    <t>cukr moučka</t>
  </si>
  <si>
    <t>cukr třťinový</t>
  </si>
  <si>
    <t>fazole v konzervě</t>
  </si>
  <si>
    <t>hladká mouka</t>
  </si>
  <si>
    <t>hořčice</t>
  </si>
  <si>
    <t>hovězí bujón</t>
  </si>
  <si>
    <t>Hrášek v konzervě</t>
  </si>
  <si>
    <t>hřebíček</t>
  </si>
  <si>
    <t>hrubá mouka</t>
  </si>
  <si>
    <t>kardamon</t>
  </si>
  <si>
    <t>Kari</t>
  </si>
  <si>
    <t>kečup</t>
  </si>
  <si>
    <t>kmín</t>
  </si>
  <si>
    <t>koriandr</t>
  </si>
  <si>
    <t>kyselé zelí bílé</t>
  </si>
  <si>
    <t>majoránka</t>
  </si>
  <si>
    <t>marmeláda</t>
  </si>
  <si>
    <t>med</t>
  </si>
  <si>
    <t>nové koření</t>
  </si>
  <si>
    <t>Olivový olej</t>
  </si>
  <si>
    <t>oregano</t>
  </si>
  <si>
    <t>ovesné vločky</t>
  </si>
  <si>
    <t>paprika pálivá</t>
  </si>
  <si>
    <t>paprika sladká</t>
  </si>
  <si>
    <t>Pepř</t>
  </si>
  <si>
    <t>polohrubá mouka</t>
  </si>
  <si>
    <t>rajčata  v konzervě</t>
  </si>
  <si>
    <t>rajčatový protlak</t>
  </si>
  <si>
    <t>Řepkový olej</t>
  </si>
  <si>
    <t>rýže</t>
  </si>
  <si>
    <t>skořice</t>
  </si>
  <si>
    <t>sardinky</t>
  </si>
  <si>
    <t>Sůl</t>
  </si>
  <si>
    <t>těstoviny</t>
  </si>
  <si>
    <t>tuňák v konzervě</t>
  </si>
  <si>
    <t>Exotické potraviny</t>
  </si>
  <si>
    <t>miso pasta</t>
  </si>
  <si>
    <t>mléko kokosové</t>
  </si>
  <si>
    <t>ramen nudle</t>
  </si>
  <si>
    <t>řasy</t>
  </si>
  <si>
    <t>bonito flakes</t>
  </si>
  <si>
    <t>houby shitake</t>
  </si>
  <si>
    <t>Trvanlivé suroviny &amp; Koření</t>
  </si>
  <si>
    <t>Chlebová mouka</t>
  </si>
  <si>
    <t>kari</t>
  </si>
  <si>
    <t>olej slunečnicový</t>
  </si>
  <si>
    <t>Nápoje</t>
  </si>
  <si>
    <t>Minerálka</t>
  </si>
  <si>
    <t>mirin</t>
  </si>
  <si>
    <t>pitíčko</t>
  </si>
  <si>
    <t>sake</t>
  </si>
  <si>
    <t>Víno bílé</t>
  </si>
  <si>
    <t>Víno červené</t>
  </si>
  <si>
    <t>Drogerie</t>
  </si>
  <si>
    <t>aviváž</t>
  </si>
  <si>
    <t>balzám po holení</t>
  </si>
  <si>
    <t>čisťič na koupelny</t>
  </si>
  <si>
    <t>čistič pleti</t>
  </si>
  <si>
    <t>čistič wc</t>
  </si>
  <si>
    <t>deodorant</t>
  </si>
  <si>
    <t>destilovaná voda</t>
  </si>
  <si>
    <t>dráťenky</t>
  </si>
  <si>
    <t>hadry</t>
  </si>
  <si>
    <t>houbičky</t>
  </si>
  <si>
    <t>hydratační krém</t>
  </si>
  <si>
    <t>kapesníčky</t>
  </si>
  <si>
    <t>kartáček na zuby</t>
  </si>
  <si>
    <t>kolínská</t>
  </si>
  <si>
    <t>mezizubní kartáček</t>
  </si>
  <si>
    <t>Odpadkové pytle</t>
  </si>
  <si>
    <t>okena</t>
  </si>
  <si>
    <t>papírové utěrky</t>
  </si>
  <si>
    <t>prací gel</t>
  </si>
  <si>
    <t>šampón</t>
  </si>
  <si>
    <t>sprchový gel</t>
  </si>
  <si>
    <t>toaletní papír</t>
  </si>
  <si>
    <t>uchošťoury</t>
  </si>
  <si>
    <t>zubní pasta</t>
  </si>
  <si>
    <t>Elektronika</t>
  </si>
  <si>
    <t>baterie AA</t>
  </si>
  <si>
    <t>baterie AAA</t>
  </si>
  <si>
    <t>Potravinové doplňky</t>
  </si>
  <si>
    <t>bcaa</t>
  </si>
  <si>
    <t>iontový nápoj</t>
  </si>
  <si>
    <t>kreatin</t>
  </si>
  <si>
    <t>magnesium</t>
  </si>
  <si>
    <t>proteinový prášek</t>
  </si>
  <si>
    <t>vitamín C</t>
  </si>
  <si>
    <t>vitamín D</t>
  </si>
  <si>
    <t>zinek</t>
  </si>
  <si>
    <t>černý čaj</t>
  </si>
  <si>
    <t>heřmánkový čaj</t>
  </si>
  <si>
    <t>menstruační čaj</t>
  </si>
  <si>
    <t>ovocný čaj</t>
  </si>
  <si>
    <t>zázvorový čaj</t>
  </si>
  <si>
    <t>zelený čaj</t>
  </si>
  <si>
    <t>Výběr</t>
  </si>
  <si>
    <t>Recept</t>
  </si>
  <si>
    <t>Počet za týden</t>
  </si>
  <si>
    <t>Surovina 1</t>
  </si>
  <si>
    <t>Množství</t>
  </si>
  <si>
    <t>Calc</t>
  </si>
  <si>
    <t>Spíž</t>
  </si>
  <si>
    <t>Snídaně</t>
  </si>
  <si>
    <t>Musli s banánem</t>
  </si>
  <si>
    <t>Musli s pomerančem</t>
  </si>
  <si>
    <t>Musli s jablkem</t>
  </si>
  <si>
    <t>Musli s švestkami</t>
  </si>
  <si>
    <t>Musli s hruškou</t>
  </si>
  <si>
    <t>Smoothie</t>
  </si>
  <si>
    <t>Míchaná vejce</t>
  </si>
  <si>
    <t>Omeleta</t>
  </si>
  <si>
    <t>Ovesná kaše</t>
  </si>
  <si>
    <t>Chléb se šunkou</t>
  </si>
  <si>
    <t>Musli</t>
  </si>
  <si>
    <t>Hlavní jídla</t>
  </si>
  <si>
    <t>Slaný štrůdl</t>
  </si>
  <si>
    <t>Guláš</t>
  </si>
  <si>
    <t>Slow Cooker Hungarian Goulash | A Farmgirl's Dabbles</t>
  </si>
  <si>
    <t>Tuňákové těstoviny</t>
  </si>
  <si>
    <t>Easy Canned Tuna Pasta (Ready in 15 Minutes!) • Salt &amp; Lavender</t>
  </si>
  <si>
    <t>Vajíčková pomazánka</t>
  </si>
  <si>
    <t>Jednoduchá vajíčková pomazánka s pomazánkovým máslem | Prima Fresh</t>
  </si>
  <si>
    <t>Ramen</t>
  </si>
  <si>
    <t>7 Ingredient Restaurant Style Ramen (Amazing Recipe)</t>
  </si>
  <si>
    <t>Steak z lososa</t>
  </si>
  <si>
    <t>Krémové těstoviny</t>
  </si>
  <si>
    <t>Chilli con carne</t>
  </si>
  <si>
    <t>Buddhovi misky</t>
  </si>
  <si>
    <t>Kuře na kari</t>
  </si>
  <si>
    <t>Quesadilla</t>
  </si>
  <si>
    <t>ramen kuřecí vývar</t>
  </si>
  <si>
    <t>dashi vývar</t>
  </si>
  <si>
    <t>Wrap</t>
  </si>
  <si>
    <t>Steak a brambory</t>
  </si>
  <si>
    <t>Špenátová pizza</t>
  </si>
  <si>
    <t>Potřeba</t>
  </si>
  <si>
    <t>Název</t>
  </si>
  <si>
    <t>Steak</t>
  </si>
  <si>
    <t>Coleslaw</t>
  </si>
  <si>
    <t>Karbanátky</t>
  </si>
  <si>
    <t>hranolky</t>
  </si>
  <si>
    <t>Saláty</t>
  </si>
  <si>
    <t>Špízy</t>
  </si>
  <si>
    <t>vepřová kýta</t>
  </si>
  <si>
    <t>Losos</t>
  </si>
  <si>
    <t>mražená pizza</t>
  </si>
  <si>
    <t>Průkopnické fazole</t>
  </si>
  <si>
    <t>chlebová mouka</t>
  </si>
  <si>
    <t>salám</t>
  </si>
  <si>
    <t>dresink</t>
  </si>
  <si>
    <t>pasta omáčka</t>
  </si>
  <si>
    <t>mozzarela</t>
  </si>
  <si>
    <t>zelí</t>
  </si>
  <si>
    <t>Špenátový salát</t>
  </si>
  <si>
    <t>Pórkový salát</t>
  </si>
  <si>
    <t>Salát z červené řepy</t>
  </si>
  <si>
    <t>červená řepa</t>
  </si>
  <si>
    <t>tortilly</t>
  </si>
  <si>
    <t>Řecký salát</t>
  </si>
  <si>
    <t>olivy</t>
  </si>
  <si>
    <t>Ostatní</t>
  </si>
  <si>
    <t>Trhané kuře</t>
  </si>
  <si>
    <t>granola</t>
  </si>
  <si>
    <t>mandle</t>
  </si>
  <si>
    <t>pekany</t>
  </si>
  <si>
    <t>sušené ovoce</t>
  </si>
  <si>
    <t>dýňová semínka</t>
  </si>
  <si>
    <t>dressink</t>
  </si>
  <si>
    <t>omáčka na těstoviny</t>
  </si>
  <si>
    <t>strouhanka</t>
  </si>
  <si>
    <t>cibule granulovaná</t>
  </si>
  <si>
    <t>vinný ocet</t>
  </si>
  <si>
    <t>rooibos</t>
  </si>
  <si>
    <t>Need</t>
  </si>
  <si>
    <t>špenát mražený</t>
  </si>
  <si>
    <t>tymián</t>
  </si>
  <si>
    <t>IFNA(VLOOKUP(F3,Špajz!B:D,3,FALSE),0)</t>
  </si>
  <si>
    <t>celozrnná mouka</t>
  </si>
  <si>
    <t>Palačinka</t>
  </si>
  <si>
    <t>chia semínka</t>
  </si>
  <si>
    <t>broskev</t>
  </si>
  <si>
    <t>mátový čaj</t>
  </si>
  <si>
    <t>Čaje</t>
  </si>
  <si>
    <t>ocet</t>
  </si>
  <si>
    <t>paprika červená</t>
  </si>
  <si>
    <t>Vindaloo</t>
  </si>
  <si>
    <t>Ramen - maso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</si>
</sst>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20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5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 applyAlignment="1">
      <alignment vertical="center"/>
    </xf>
    <xf numFmtId="0" fontId="4" fillId="3" borderId="0" xfId="2" applyFont="1" applyAlignment="1"/>
    <xf numFmtId="0" fontId="4" fillId="2" borderId="0" xfId="1" applyFont="1" applyAlignment="1"/>
    <xf numFmtId="0" fontId="5" fillId="0" borderId="0" xfId="3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0" xfId="1"/>
    <xf numFmtId="0" fontId="1" fillId="3" borderId="0" xfId="2"/>
    <xf numFmtId="0" fontId="0" fillId="0" borderId="0" xfId="0" applyAlignment="1">
      <alignment horizontal="left" vertical="top"/>
    </xf>
    <xf numFmtId="0" fontId="2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Protection="1">
      <protection locked="0"/>
    </xf>
    <xf numFmtId="0" fontId="1" fillId="2" borderId="0" xfId="1" applyProtection="1">
      <protection locked="0"/>
    </xf>
    <xf numFmtId="0" fontId="1" fillId="2" borderId="0" xfId="1" applyAlignment="1" applyProtection="1">
      <protection locked="0"/>
    </xf>
    <xf numFmtId="0" fontId="0" fillId="0" borderId="1" xfId="0" applyBorder="1" applyProtection="1">
      <protection locked="0"/>
    </xf>
    <xf numFmtId="0" fontId="0" fillId="0" borderId="0" xfId="0" applyProtection="1"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" xfId="0" applyBorder="1" applyProtection="1"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4" borderId="0" xfId="0" applyFill="1"/>
    <xf numFmtId="0" fontId="1" fillId="5" borderId="0" xfId="0" applyFont="1" applyFill="1" applyProtection="1">
      <protection locked="0"/>
    </xf>
    <xf numFmtId="0" fontId="0" fillId="0" borderId="0" xfId="0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4">
    <cellStyle name="Accent1" xfId="1" builtinId="29"/>
    <cellStyle name="Accent3" xfId="2" builtinId="37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farmgirlsdabbles.com/slow-cooker-hungarian-goulash-recipe-hungary-austria/" TargetMode="External"/><Relationship Id="rId2" Type="http://schemas.openxmlformats.org/officeDocument/2006/relationships/hyperlink" Target="https://www.saltandlavender.com/easy-canned-tuna-pasta/" TargetMode="External"/><Relationship Id="rId1" Type="http://schemas.openxmlformats.org/officeDocument/2006/relationships/hyperlink" Target="https://www.youtube.com/watch?v=9gNIqtmYg5o&amp;ab_channel=LifebyMikeG" TargetMode="External"/><Relationship Id="rId4" Type="http://schemas.openxmlformats.org/officeDocument/2006/relationships/hyperlink" Target="https://fresh.iprima.cz/prima-fresh/vajickova-pomazanka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FB839-BDB4-4A00-B2EB-65E63044B094}">
  <sheetPr filterMode="1"/>
  <dimension ref="A1:K207"/>
  <sheetViews>
    <sheetView topLeftCell="B1" workbookViewId="0">
      <selection activeCell="H3" sqref="H3:H195"/>
    </sheetView>
  </sheetViews>
  <sheetFormatPr defaultRowHeight="14.4" x14ac:dyDescent="0.3"/>
  <cols>
    <col min="1" max="1" width="8.5546875" hidden="1" customWidth="1"/>
    <col min="2" max="3" width="8.5546875" customWidth="1"/>
    <col min="4" max="4" width="6.6640625" customWidth="1"/>
    <col min="5" max="5" width="3.5546875" customWidth="1"/>
    <col min="6" max="6" width="54" bestFit="1" customWidth="1"/>
    <col min="7" max="7" width="9.109375" hidden="1" customWidth="1"/>
    <col min="8" max="8" width="5.5546875" bestFit="1" customWidth="1"/>
  </cols>
  <sheetData>
    <row r="1" spans="1:11" x14ac:dyDescent="0.3">
      <c r="A1" s="15" t="s">
        <v>0</v>
      </c>
      <c r="B1" s="16" t="s">
        <v>2</v>
      </c>
      <c r="C1" s="23" t="s">
        <v>1</v>
      </c>
      <c r="D1" s="16" t="s">
        <v>3</v>
      </c>
      <c r="E1" s="16" t="s">
        <v>4</v>
      </c>
      <c r="F1" s="17" t="s">
        <v>5</v>
      </c>
      <c r="G1" s="15"/>
      <c r="H1" s="17" t="s">
        <v>251</v>
      </c>
    </row>
    <row r="2" spans="1:11" ht="31.5" x14ac:dyDescent="0.6">
      <c r="F2" s="9" t="s">
        <v>6</v>
      </c>
    </row>
    <row r="3" spans="1:11" ht="15" hidden="1" x14ac:dyDescent="0.3">
      <c r="A3" s="18">
        <f>SUMIF(Recept!D:D,"="&amp;F3,Recept!F:F)</f>
        <v>0</v>
      </c>
      <c r="B3" s="19" t="b">
        <v>0</v>
      </c>
      <c r="C3" s="15"/>
      <c r="D3" s="15">
        <f>IF((A3-C3+(G3*H3))&lt;=0,0,(A3-C3+(G3*H3)))</f>
        <v>0</v>
      </c>
      <c r="E3" s="20" t="s">
        <v>7</v>
      </c>
      <c r="F3" s="21" t="s">
        <v>8</v>
      </c>
      <c r="G3" s="15">
        <v>1</v>
      </c>
      <c r="H3" s="19" t="b">
        <v>0</v>
      </c>
      <c r="K3" t="s">
        <v>254</v>
      </c>
    </row>
    <row r="4" spans="1:11" ht="15" hidden="1" x14ac:dyDescent="0.3">
      <c r="A4" s="18">
        <f>SUMIF(Recept!D:D,"="&amp;F4,Recept!F:F)</f>
        <v>0</v>
      </c>
      <c r="B4" s="19" t="b">
        <v>0</v>
      </c>
      <c r="C4" s="15"/>
      <c r="D4" s="15">
        <f t="shared" ref="D4:D68" si="0">IF((A4-C4+(G4*H4))&lt;=0,0,(A4-C4+(G4*H4)))</f>
        <v>0</v>
      </c>
      <c r="E4" s="20" t="s">
        <v>9</v>
      </c>
      <c r="F4" s="21" t="s">
        <v>10</v>
      </c>
      <c r="G4" s="15">
        <v>1</v>
      </c>
      <c r="H4" s="19" t="b">
        <v>0</v>
      </c>
    </row>
    <row r="5" spans="1:11" ht="15" hidden="1" x14ac:dyDescent="0.3">
      <c r="A5" s="18">
        <f>SUMIF(Recept!D:D,"="&amp;F5,Recept!F:F)</f>
        <v>0</v>
      </c>
      <c r="B5" s="19" t="b">
        <v>0</v>
      </c>
      <c r="C5" s="15"/>
      <c r="D5" s="15">
        <f t="shared" si="0"/>
        <v>0</v>
      </c>
      <c r="E5" s="20" t="s">
        <v>7</v>
      </c>
      <c r="F5" s="21" t="s">
        <v>98</v>
      </c>
      <c r="G5" s="15">
        <v>1</v>
      </c>
      <c r="H5" s="19" t="b">
        <v>0</v>
      </c>
    </row>
    <row r="6" spans="1:11" ht="31.5" x14ac:dyDescent="0.3">
      <c r="A6" s="18">
        <f>SUMIF(Recept!D:D,"="&amp;F6,Recept!F:F)</f>
        <v>0</v>
      </c>
      <c r="B6" s="19" t="b">
        <v>0</v>
      </c>
      <c r="D6" s="15"/>
      <c r="F6" s="1" t="s">
        <v>11</v>
      </c>
      <c r="H6" s="19" t="b">
        <v>0</v>
      </c>
    </row>
    <row r="7" spans="1:11" ht="15" hidden="1" x14ac:dyDescent="0.3">
      <c r="A7" s="18">
        <f>SUMIF(Recept!D:D,"="&amp;F7,Recept!F:F)</f>
        <v>0</v>
      </c>
      <c r="B7" s="19" t="b">
        <v>0</v>
      </c>
      <c r="C7" s="15"/>
      <c r="D7" s="15">
        <f t="shared" si="0"/>
        <v>0</v>
      </c>
      <c r="E7" s="20" t="s">
        <v>7</v>
      </c>
      <c r="F7" s="21" t="s">
        <v>247</v>
      </c>
      <c r="G7" s="15">
        <v>1</v>
      </c>
      <c r="H7" s="19" t="b">
        <v>0</v>
      </c>
    </row>
    <row r="8" spans="1:11" ht="15" hidden="1" x14ac:dyDescent="0.3">
      <c r="A8" s="18">
        <f>SUMIF(Recept!D:D,"="&amp;F8,Recept!F:F)</f>
        <v>0</v>
      </c>
      <c r="B8" s="19" t="b">
        <v>0</v>
      </c>
      <c r="C8" s="15"/>
      <c r="D8" s="15">
        <f t="shared" si="0"/>
        <v>0</v>
      </c>
      <c r="E8" s="15" t="s">
        <v>7</v>
      </c>
      <c r="F8" s="21" t="s">
        <v>12</v>
      </c>
      <c r="G8" s="15">
        <v>1</v>
      </c>
      <c r="H8" s="19" t="b">
        <v>0</v>
      </c>
    </row>
    <row r="9" spans="1:11" ht="31.5" x14ac:dyDescent="0.3">
      <c r="A9" s="18">
        <f>SUMIF(Recept!D:D,"="&amp;F9,Recept!F:F)</f>
        <v>0</v>
      </c>
      <c r="B9" s="19" t="b">
        <v>0</v>
      </c>
      <c r="D9" s="15"/>
      <c r="F9" s="1" t="s">
        <v>13</v>
      </c>
      <c r="H9" s="19" t="b">
        <v>0</v>
      </c>
    </row>
    <row r="10" spans="1:11" ht="15" x14ac:dyDescent="0.3">
      <c r="A10" s="18">
        <f>SUMIF(Recept!D:D,"="&amp;F10,Recept!F:F)</f>
        <v>100</v>
      </c>
      <c r="B10" s="19" t="b">
        <v>1</v>
      </c>
      <c r="C10" s="15"/>
      <c r="D10" s="15">
        <f t="shared" ref="D10:D37" si="1">IF((A10-C10+(G10*H10))&lt;=0,0,(A10-C10+(G10*H10)))</f>
        <v>100</v>
      </c>
      <c r="E10" s="20" t="s">
        <v>9</v>
      </c>
      <c r="F10" s="21" t="s">
        <v>15</v>
      </c>
      <c r="G10" s="15">
        <v>1</v>
      </c>
      <c r="H10" s="19" t="b">
        <v>0</v>
      </c>
    </row>
    <row r="11" spans="1:11" ht="15" x14ac:dyDescent="0.3">
      <c r="A11" s="18">
        <f>SUMIF(Recept!D:D,"="&amp;F11,Recept!F:F)</f>
        <v>1</v>
      </c>
      <c r="B11" s="19" t="b">
        <v>1</v>
      </c>
      <c r="C11" s="15"/>
      <c r="D11" s="15">
        <f t="shared" si="1"/>
        <v>1</v>
      </c>
      <c r="E11" s="20" t="s">
        <v>7</v>
      </c>
      <c r="F11" s="21" t="s">
        <v>16</v>
      </c>
      <c r="G11" s="15">
        <v>1</v>
      </c>
      <c r="H11" s="19" t="b">
        <v>0</v>
      </c>
    </row>
    <row r="12" spans="1:11" ht="15" hidden="1" x14ac:dyDescent="0.3">
      <c r="A12" s="18">
        <f>SUMIF(Recept!D:D,"="&amp;F12,Recept!F:F)</f>
        <v>0</v>
      </c>
      <c r="B12" s="19" t="b">
        <v>0</v>
      </c>
      <c r="C12" s="15"/>
      <c r="D12" s="15">
        <f t="shared" si="1"/>
        <v>0</v>
      </c>
      <c r="E12" s="20" t="s">
        <v>9</v>
      </c>
      <c r="F12" s="21" t="s">
        <v>17</v>
      </c>
      <c r="G12" s="15">
        <v>1</v>
      </c>
      <c r="H12" s="19" t="b">
        <v>0</v>
      </c>
    </row>
    <row r="13" spans="1:11" ht="15" hidden="1" x14ac:dyDescent="0.3">
      <c r="A13" s="18">
        <f>SUMIF(Recept!D:D,"="&amp;F13,Recept!F:F)</f>
        <v>0</v>
      </c>
      <c r="B13" s="19" t="b">
        <v>0</v>
      </c>
      <c r="C13" s="15"/>
      <c r="D13" s="15">
        <f t="shared" si="1"/>
        <v>0</v>
      </c>
      <c r="E13" s="20" t="s">
        <v>7</v>
      </c>
      <c r="F13" s="21" t="s">
        <v>18</v>
      </c>
      <c r="G13" s="15">
        <v>1</v>
      </c>
      <c r="H13" s="19" t="b">
        <v>0</v>
      </c>
    </row>
    <row r="14" spans="1:11" ht="15" x14ac:dyDescent="0.3">
      <c r="A14" s="18">
        <f>SUMIF(Recept!D:D,"="&amp;F14,Recept!F:F)</f>
        <v>1</v>
      </c>
      <c r="B14" s="19" t="b">
        <v>1</v>
      </c>
      <c r="C14" s="15"/>
      <c r="D14" s="15">
        <f t="shared" si="1"/>
        <v>1</v>
      </c>
      <c r="E14" s="20" t="s">
        <v>7</v>
      </c>
      <c r="F14" s="21" t="s">
        <v>258</v>
      </c>
      <c r="G14" s="15"/>
      <c r="H14" s="19" t="b">
        <v>0</v>
      </c>
    </row>
    <row r="15" spans="1:11" ht="15" x14ac:dyDescent="0.3">
      <c r="A15" s="18">
        <f>SUMIF(Recept!D:D,"="&amp;F15,Recept!F:F)</f>
        <v>0.5</v>
      </c>
      <c r="B15" s="19" t="b">
        <v>1</v>
      </c>
      <c r="C15" s="15"/>
      <c r="D15" s="15">
        <f t="shared" si="1"/>
        <v>0.5</v>
      </c>
      <c r="E15" s="20" t="s">
        <v>7</v>
      </c>
      <c r="F15" s="21" t="s">
        <v>19</v>
      </c>
      <c r="G15" s="15">
        <v>1</v>
      </c>
      <c r="H15" s="19" t="b">
        <v>0</v>
      </c>
    </row>
    <row r="16" spans="1:11" ht="15" x14ac:dyDescent="0.3">
      <c r="A16" s="18">
        <f>SUMIF(Recept!D:D,"="&amp;F16,Recept!F:F)</f>
        <v>0</v>
      </c>
      <c r="B16" s="19" t="b">
        <v>1</v>
      </c>
      <c r="C16" s="15"/>
      <c r="D16" s="15">
        <f t="shared" si="1"/>
        <v>0</v>
      </c>
      <c r="E16" s="15" t="s">
        <v>7</v>
      </c>
      <c r="F16" s="21" t="s">
        <v>20</v>
      </c>
      <c r="G16" s="15">
        <v>1</v>
      </c>
      <c r="H16" s="19" t="b">
        <v>0</v>
      </c>
    </row>
    <row r="17" spans="1:8" ht="15" x14ac:dyDescent="0.3">
      <c r="A17" s="18">
        <f>SUMIF(Recept!D:D,"="&amp;F17,Recept!F:F)</f>
        <v>350</v>
      </c>
      <c r="B17" s="19" t="b">
        <v>1</v>
      </c>
      <c r="C17" s="15"/>
      <c r="D17" s="15">
        <f t="shared" si="1"/>
        <v>350</v>
      </c>
      <c r="E17" s="15" t="s">
        <v>9</v>
      </c>
      <c r="F17" s="21" t="s">
        <v>14</v>
      </c>
      <c r="G17" s="15">
        <v>1</v>
      </c>
      <c r="H17" s="19" t="b">
        <v>0</v>
      </c>
    </row>
    <row r="18" spans="1:8" ht="15" x14ac:dyDescent="0.3">
      <c r="A18" s="18">
        <f>SUMIF(Recept!D:D,"="&amp;F18,Recept!F:F)</f>
        <v>4</v>
      </c>
      <c r="B18" s="19" t="b">
        <v>1</v>
      </c>
      <c r="C18" s="15"/>
      <c r="D18" s="15">
        <f t="shared" si="1"/>
        <v>4</v>
      </c>
      <c r="E18" s="15" t="s">
        <v>7</v>
      </c>
      <c r="F18" s="21" t="s">
        <v>21</v>
      </c>
      <c r="G18" s="15">
        <v>1</v>
      </c>
      <c r="H18" s="19" t="b">
        <v>0</v>
      </c>
    </row>
    <row r="19" spans="1:8" ht="15" hidden="1" x14ac:dyDescent="0.3">
      <c r="A19" s="18">
        <f>SUMIF(Recept!D:D,"="&amp;F19,Recept!F:F)</f>
        <v>0</v>
      </c>
      <c r="B19" s="19" t="b">
        <v>0</v>
      </c>
      <c r="C19" s="15"/>
      <c r="D19" s="15">
        <f t="shared" si="1"/>
        <v>0</v>
      </c>
      <c r="E19" s="15" t="s">
        <v>7</v>
      </c>
      <c r="F19" s="21" t="s">
        <v>22</v>
      </c>
      <c r="G19" s="15">
        <v>1</v>
      </c>
      <c r="H19" s="19" t="b">
        <v>0</v>
      </c>
    </row>
    <row r="20" spans="1:8" ht="15" hidden="1" x14ac:dyDescent="0.3">
      <c r="A20" s="18">
        <f>SUMIF(Recept!D:D,"="&amp;F20,Recept!F:F)</f>
        <v>0</v>
      </c>
      <c r="B20" s="19" t="b">
        <v>0</v>
      </c>
      <c r="C20" s="15"/>
      <c r="D20" s="15">
        <f t="shared" si="1"/>
        <v>0</v>
      </c>
      <c r="E20" s="15" t="s">
        <v>7</v>
      </c>
      <c r="F20" s="21" t="s">
        <v>22</v>
      </c>
      <c r="G20" s="15">
        <v>1</v>
      </c>
      <c r="H20" s="19" t="b">
        <v>0</v>
      </c>
    </row>
    <row r="21" spans="1:8" ht="15" hidden="1" x14ac:dyDescent="0.3">
      <c r="A21" s="18">
        <f>SUMIF(Recept!D:D,"="&amp;F21,Recept!F:F)</f>
        <v>0</v>
      </c>
      <c r="B21" s="19" t="b">
        <v>0</v>
      </c>
      <c r="C21" s="15"/>
      <c r="D21" s="15">
        <f t="shared" si="1"/>
        <v>0</v>
      </c>
      <c r="E21" s="15" t="s">
        <v>9</v>
      </c>
      <c r="F21" s="21" t="s">
        <v>23</v>
      </c>
      <c r="G21" s="15">
        <v>1</v>
      </c>
      <c r="H21" s="19" t="b">
        <v>0</v>
      </c>
    </row>
    <row r="22" spans="1:8" ht="15" hidden="1" x14ac:dyDescent="0.3">
      <c r="A22" s="18">
        <f>SUMIF(Recept!D:D,"="&amp;F22,Recept!F:F)</f>
        <v>0</v>
      </c>
      <c r="B22" s="19" t="b">
        <v>0</v>
      </c>
      <c r="C22" s="15"/>
      <c r="D22" s="15">
        <f t="shared" si="1"/>
        <v>0</v>
      </c>
      <c r="E22" s="15" t="s">
        <v>7</v>
      </c>
      <c r="F22" s="21" t="s">
        <v>24</v>
      </c>
      <c r="G22" s="15">
        <v>1</v>
      </c>
      <c r="H22" s="19" t="b">
        <v>0</v>
      </c>
    </row>
    <row r="23" spans="1:8" ht="15" x14ac:dyDescent="0.3">
      <c r="A23" s="18">
        <f>SUMIF(Recept!D:D,"="&amp;F23,Recept!F:F)</f>
        <v>1</v>
      </c>
      <c r="B23" s="19" t="b">
        <v>1</v>
      </c>
      <c r="C23" s="15"/>
      <c r="D23" s="15">
        <f t="shared" si="1"/>
        <v>1</v>
      </c>
      <c r="E23" s="15" t="s">
        <v>7</v>
      </c>
      <c r="F23" s="21" t="s">
        <v>25</v>
      </c>
      <c r="G23" s="15">
        <v>1</v>
      </c>
      <c r="H23" s="19" t="b">
        <v>0</v>
      </c>
    </row>
    <row r="24" spans="1:8" ht="15" x14ac:dyDescent="0.3">
      <c r="A24" s="18">
        <f>SUMIF(Recept!D:D,"="&amp;F24,Recept!F:F)</f>
        <v>1.5</v>
      </c>
      <c r="B24" s="19" t="b">
        <v>1</v>
      </c>
      <c r="C24" s="15"/>
      <c r="D24" s="15">
        <f t="shared" si="1"/>
        <v>1.5</v>
      </c>
      <c r="E24" s="15" t="s">
        <v>7</v>
      </c>
      <c r="F24" s="21" t="s">
        <v>26</v>
      </c>
      <c r="G24" s="15">
        <v>1</v>
      </c>
      <c r="H24" s="19" t="b">
        <v>0</v>
      </c>
    </row>
    <row r="25" spans="1:8" ht="15" x14ac:dyDescent="0.3">
      <c r="A25" s="18">
        <f>SUMIF(Recept!D:D,"="&amp;F25,Recept!F:F)</f>
        <v>3</v>
      </c>
      <c r="B25" s="19" t="b">
        <v>1</v>
      </c>
      <c r="C25" s="15"/>
      <c r="D25" s="15">
        <f t="shared" si="1"/>
        <v>3</v>
      </c>
      <c r="E25" s="15" t="s">
        <v>7</v>
      </c>
      <c r="F25" s="21" t="s">
        <v>27</v>
      </c>
      <c r="G25" s="15">
        <v>1</v>
      </c>
      <c r="H25" s="19" t="b">
        <v>0</v>
      </c>
    </row>
    <row r="26" spans="1:8" ht="15" x14ac:dyDescent="0.3">
      <c r="A26" s="18">
        <f>SUMIF(Recept!D:D,"="&amp;F26,Recept!F:F)</f>
        <v>0.5</v>
      </c>
      <c r="B26" s="19" t="b">
        <v>1</v>
      </c>
      <c r="C26" s="15"/>
      <c r="D26" s="15">
        <f t="shared" si="1"/>
        <v>0.5</v>
      </c>
      <c r="E26" s="15" t="s">
        <v>7</v>
      </c>
      <c r="F26" s="21" t="s">
        <v>28</v>
      </c>
      <c r="G26" s="15">
        <v>1</v>
      </c>
      <c r="H26" s="19" t="b">
        <v>0</v>
      </c>
    </row>
    <row r="27" spans="1:8" ht="15" x14ac:dyDescent="0.3">
      <c r="A27" s="18">
        <f>SUMIF(Recept!D:D,"="&amp;F27,Recept!F:F)</f>
        <v>1</v>
      </c>
      <c r="B27" s="19" t="b">
        <v>1</v>
      </c>
      <c r="C27" s="15"/>
      <c r="D27" s="15">
        <f t="shared" si="1"/>
        <v>1</v>
      </c>
      <c r="E27" s="15" t="s">
        <v>7</v>
      </c>
      <c r="F27" s="21" t="s">
        <v>262</v>
      </c>
      <c r="G27" s="15">
        <v>1</v>
      </c>
      <c r="H27" s="19" t="b">
        <v>0</v>
      </c>
    </row>
    <row r="28" spans="1:8" ht="15" x14ac:dyDescent="0.3">
      <c r="A28" s="18">
        <f>SUMIF(Recept!D:D,"="&amp;F28,Recept!F:F)</f>
        <v>3</v>
      </c>
      <c r="B28" s="19" t="b">
        <v>1</v>
      </c>
      <c r="C28" s="15"/>
      <c r="D28" s="15">
        <f t="shared" si="1"/>
        <v>3</v>
      </c>
      <c r="E28" s="15" t="s">
        <v>7</v>
      </c>
      <c r="F28" s="21" t="s">
        <v>29</v>
      </c>
      <c r="G28" s="15">
        <v>1</v>
      </c>
      <c r="H28" s="19" t="b">
        <v>0</v>
      </c>
    </row>
    <row r="29" spans="1:8" ht="15" x14ac:dyDescent="0.3">
      <c r="A29" s="18">
        <f>SUMIF(Recept!D:D,"="&amp;F29,Recept!F:F)</f>
        <v>1</v>
      </c>
      <c r="B29" s="19" t="b">
        <v>1</v>
      </c>
      <c r="C29" s="15"/>
      <c r="D29" s="15">
        <f t="shared" si="1"/>
        <v>1</v>
      </c>
      <c r="E29" s="15" t="s">
        <v>7</v>
      </c>
      <c r="F29" s="21" t="s">
        <v>30</v>
      </c>
      <c r="G29" s="15">
        <v>1</v>
      </c>
      <c r="H29" s="19" t="b">
        <v>0</v>
      </c>
    </row>
    <row r="30" spans="1:8" ht="15" hidden="1" x14ac:dyDescent="0.3">
      <c r="A30" s="18">
        <f>SUMIF(Recept!D:D,"="&amp;F30,Recept!F:F)</f>
        <v>0</v>
      </c>
      <c r="B30" s="19" t="b">
        <v>0</v>
      </c>
      <c r="C30" s="15"/>
      <c r="D30" s="15">
        <f t="shared" si="1"/>
        <v>0</v>
      </c>
      <c r="E30" s="15" t="s">
        <v>7</v>
      </c>
      <c r="F30" s="21" t="s">
        <v>31</v>
      </c>
      <c r="G30" s="15">
        <v>1</v>
      </c>
      <c r="H30" s="19" t="b">
        <v>0</v>
      </c>
    </row>
    <row r="31" spans="1:8" ht="15" hidden="1" x14ac:dyDescent="0.3">
      <c r="A31" s="18">
        <f>SUMIF(Recept!D:D,"="&amp;F31,Recept!F:F)</f>
        <v>0</v>
      </c>
      <c r="B31" s="19" t="b">
        <v>0</v>
      </c>
      <c r="C31" s="15"/>
      <c r="D31" s="15">
        <f t="shared" si="1"/>
        <v>0</v>
      </c>
      <c r="E31" s="15" t="s">
        <v>7</v>
      </c>
      <c r="F31" s="21" t="s">
        <v>32</v>
      </c>
      <c r="G31" s="15">
        <v>1</v>
      </c>
      <c r="H31" s="19" t="b">
        <v>0</v>
      </c>
    </row>
    <row r="32" spans="1:8" ht="15" hidden="1" x14ac:dyDescent="0.3">
      <c r="A32" s="18">
        <f>SUMIF(Recept!D:D,"="&amp;F32,Recept!F:F)</f>
        <v>0</v>
      </c>
      <c r="B32" s="19" t="b">
        <v>0</v>
      </c>
      <c r="C32" s="15"/>
      <c r="D32" s="15">
        <f t="shared" si="1"/>
        <v>0</v>
      </c>
      <c r="E32" s="15" t="s">
        <v>7</v>
      </c>
      <c r="F32" s="21" t="s">
        <v>33</v>
      </c>
      <c r="G32" s="15">
        <v>1</v>
      </c>
      <c r="H32" s="19" t="b">
        <v>0</v>
      </c>
    </row>
    <row r="33" spans="1:8" ht="15" hidden="1" x14ac:dyDescent="0.3">
      <c r="A33" s="18">
        <f>SUMIF(Recept!D:D,"="&amp;F33,Recept!F:F)</f>
        <v>0</v>
      </c>
      <c r="B33" s="19" t="b">
        <v>0</v>
      </c>
      <c r="C33" s="15"/>
      <c r="D33" s="15">
        <f t="shared" si="1"/>
        <v>0</v>
      </c>
      <c r="E33" s="15" t="s">
        <v>9</v>
      </c>
      <c r="F33" s="21" t="s">
        <v>34</v>
      </c>
      <c r="G33" s="15">
        <v>1</v>
      </c>
      <c r="H33" s="19" t="b">
        <v>0</v>
      </c>
    </row>
    <row r="34" spans="1:8" ht="15" hidden="1" x14ac:dyDescent="0.3">
      <c r="A34" s="18">
        <f>SUMIF(Recept!D:D,"="&amp;F34,Recept!F:F)</f>
        <v>0</v>
      </c>
      <c r="B34" s="19" t="b">
        <v>0</v>
      </c>
      <c r="C34" s="15"/>
      <c r="D34" s="15">
        <f t="shared" si="1"/>
        <v>0</v>
      </c>
      <c r="E34" s="15" t="s">
        <v>7</v>
      </c>
      <c r="F34" s="21" t="s">
        <v>35</v>
      </c>
      <c r="G34" s="15">
        <v>1</v>
      </c>
      <c r="H34" s="19" t="b">
        <v>0</v>
      </c>
    </row>
    <row r="35" spans="1:8" ht="15" hidden="1" x14ac:dyDescent="0.3">
      <c r="A35" s="18">
        <f>SUMIF(Recept!D:D,"="&amp;F35,Recept!F:F)</f>
        <v>0</v>
      </c>
      <c r="B35" s="19" t="b">
        <v>0</v>
      </c>
      <c r="C35" s="15"/>
      <c r="D35" s="15">
        <f t="shared" si="1"/>
        <v>0</v>
      </c>
      <c r="E35" s="15" t="s">
        <v>7</v>
      </c>
      <c r="F35" s="21" t="s">
        <v>37</v>
      </c>
      <c r="G35" s="15">
        <v>1</v>
      </c>
      <c r="H35" s="19" t="b">
        <v>0</v>
      </c>
    </row>
    <row r="36" spans="1:8" ht="15" x14ac:dyDescent="0.3">
      <c r="A36" s="18">
        <f>SUMIF(Recept!D:D,"="&amp;F36,Recept!F:F)</f>
        <v>1.3</v>
      </c>
      <c r="B36" s="19" t="b">
        <v>1</v>
      </c>
      <c r="C36" s="15"/>
      <c r="D36" s="15">
        <f t="shared" si="1"/>
        <v>1.3</v>
      </c>
      <c r="E36" s="15" t="s">
        <v>7</v>
      </c>
      <c r="F36" s="21" t="s">
        <v>36</v>
      </c>
      <c r="G36" s="15">
        <v>1</v>
      </c>
      <c r="H36" s="19" t="b">
        <v>0</v>
      </c>
    </row>
    <row r="37" spans="1:8" ht="15" x14ac:dyDescent="0.3">
      <c r="A37" s="18">
        <f>SUMIF(Recept!D:D,"="&amp;F37,Recept!F:F)</f>
        <v>150</v>
      </c>
      <c r="B37" s="19" t="b">
        <v>1</v>
      </c>
      <c r="C37" s="15"/>
      <c r="D37" s="15">
        <f t="shared" si="1"/>
        <v>150</v>
      </c>
      <c r="E37" s="15" t="s">
        <v>9</v>
      </c>
      <c r="F37" s="21" t="s">
        <v>230</v>
      </c>
      <c r="G37" s="15">
        <v>1</v>
      </c>
      <c r="H37" s="19" t="b">
        <v>0</v>
      </c>
    </row>
    <row r="38" spans="1:8" ht="31.5" x14ac:dyDescent="0.3">
      <c r="A38" s="18">
        <f>SUMIF(Recept!D:D,"="&amp;F38,Recept!F:F)</f>
        <v>0</v>
      </c>
      <c r="B38" s="19" t="b">
        <v>0</v>
      </c>
      <c r="D38" s="15"/>
      <c r="F38" s="1" t="s">
        <v>38</v>
      </c>
      <c r="H38" s="19" t="b">
        <v>0</v>
      </c>
    </row>
    <row r="39" spans="1:8" ht="15" hidden="1" x14ac:dyDescent="0.3">
      <c r="A39" s="18">
        <f>SUMIF(Recept!D:D,"="&amp;F39,Recept!F:F)</f>
        <v>0</v>
      </c>
      <c r="B39" s="19" t="b">
        <v>0</v>
      </c>
      <c r="C39" s="15"/>
      <c r="D39" s="15">
        <f t="shared" si="0"/>
        <v>0</v>
      </c>
      <c r="E39" s="15" t="s">
        <v>9</v>
      </c>
      <c r="F39" s="21" t="s">
        <v>39</v>
      </c>
      <c r="G39" s="15">
        <v>1</v>
      </c>
      <c r="H39" s="19" t="b">
        <v>0</v>
      </c>
    </row>
    <row r="40" spans="1:8" ht="15" hidden="1" x14ac:dyDescent="0.3">
      <c r="A40" s="18">
        <f>SUMIF(Recept!D:D,"="&amp;F40,Recept!F:F)</f>
        <v>0</v>
      </c>
      <c r="B40" s="19" t="b">
        <v>0</v>
      </c>
      <c r="C40" s="15"/>
      <c r="D40" s="15">
        <f t="shared" si="0"/>
        <v>0</v>
      </c>
      <c r="E40" s="15" t="s">
        <v>9</v>
      </c>
      <c r="F40" s="21" t="s">
        <v>40</v>
      </c>
      <c r="G40" s="15">
        <v>1</v>
      </c>
      <c r="H40" s="19" t="b">
        <v>0</v>
      </c>
    </row>
    <row r="41" spans="1:8" ht="15" x14ac:dyDescent="0.3">
      <c r="A41" s="18">
        <f>SUMIF(Recept!D:D,"="&amp;F41,Recept!F:F)</f>
        <v>800</v>
      </c>
      <c r="B41" s="19" t="b">
        <v>1</v>
      </c>
      <c r="C41" s="15"/>
      <c r="D41" s="15">
        <f t="shared" si="0"/>
        <v>800</v>
      </c>
      <c r="E41" s="15" t="s">
        <v>9</v>
      </c>
      <c r="F41" s="21" t="s">
        <v>41</v>
      </c>
      <c r="G41" s="15">
        <v>1</v>
      </c>
      <c r="H41" s="19" t="b">
        <v>0</v>
      </c>
    </row>
    <row r="42" spans="1:8" ht="15" hidden="1" x14ac:dyDescent="0.3">
      <c r="A42" s="18">
        <f>SUMIF(Recept!D:D,"="&amp;F42,Recept!F:F)</f>
        <v>0</v>
      </c>
      <c r="B42" s="19" t="b">
        <v>0</v>
      </c>
      <c r="C42" s="15"/>
      <c r="D42" s="15">
        <f t="shared" si="0"/>
        <v>0</v>
      </c>
      <c r="E42" s="15" t="s">
        <v>9</v>
      </c>
      <c r="F42" s="21" t="s">
        <v>42</v>
      </c>
      <c r="G42" s="15">
        <v>1</v>
      </c>
      <c r="H42" s="19" t="b">
        <v>0</v>
      </c>
    </row>
    <row r="43" spans="1:8" ht="15" hidden="1" x14ac:dyDescent="0.3">
      <c r="A43" s="18">
        <f>SUMIF(Recept!D:D,"="&amp;F43,Recept!F:F)</f>
        <v>0</v>
      </c>
      <c r="B43" s="19" t="b">
        <v>0</v>
      </c>
      <c r="C43" s="15"/>
      <c r="D43" s="15">
        <f t="shared" si="0"/>
        <v>0</v>
      </c>
      <c r="E43" s="15" t="s">
        <v>9</v>
      </c>
      <c r="F43" s="21" t="s">
        <v>43</v>
      </c>
      <c r="G43" s="15">
        <v>1</v>
      </c>
      <c r="H43" s="19" t="b">
        <v>0</v>
      </c>
    </row>
    <row r="44" spans="1:8" ht="15" x14ac:dyDescent="0.3">
      <c r="A44" s="18">
        <f>SUMIF(Recept!D:D,"="&amp;F44,Recept!F:F)</f>
        <v>1</v>
      </c>
      <c r="B44" s="19" t="b">
        <v>1</v>
      </c>
      <c r="C44" s="15"/>
      <c r="D44" s="15">
        <f t="shared" si="0"/>
        <v>1</v>
      </c>
      <c r="E44" s="15" t="s">
        <v>7</v>
      </c>
      <c r="F44" s="21" t="s">
        <v>44</v>
      </c>
      <c r="G44" s="15">
        <v>1</v>
      </c>
      <c r="H44" s="19" t="b">
        <v>0</v>
      </c>
    </row>
    <row r="45" spans="1:8" ht="15" hidden="1" x14ac:dyDescent="0.3">
      <c r="A45" s="18">
        <f>SUMIF(Recept!D:D,"="&amp;F45,Recept!F:F)</f>
        <v>0</v>
      </c>
      <c r="B45" s="19" t="b">
        <v>0</v>
      </c>
      <c r="C45" s="15"/>
      <c r="D45" s="15">
        <f t="shared" si="0"/>
        <v>0</v>
      </c>
      <c r="E45" s="15" t="s">
        <v>9</v>
      </c>
      <c r="F45" s="21" t="s">
        <v>45</v>
      </c>
      <c r="G45" s="15">
        <v>1</v>
      </c>
      <c r="H45" s="19" t="b">
        <v>0</v>
      </c>
    </row>
    <row r="46" spans="1:8" ht="15" hidden="1" x14ac:dyDescent="0.3">
      <c r="A46" s="18">
        <f>SUMIF(Recept!D:D,"="&amp;F46,Recept!F:F)</f>
        <v>0</v>
      </c>
      <c r="B46" s="19" t="b">
        <v>0</v>
      </c>
      <c r="C46" s="15"/>
      <c r="D46" s="15">
        <f t="shared" si="0"/>
        <v>0</v>
      </c>
      <c r="E46" s="15" t="s">
        <v>9</v>
      </c>
      <c r="F46" s="21" t="s">
        <v>46</v>
      </c>
      <c r="G46" s="15">
        <v>1</v>
      </c>
      <c r="H46" s="19" t="b">
        <v>0</v>
      </c>
    </row>
    <row r="47" spans="1:8" ht="15" x14ac:dyDescent="0.3">
      <c r="A47" s="18">
        <f>SUMIF(Recept!D:D,"="&amp;F47,Recept!F:F)</f>
        <v>600</v>
      </c>
      <c r="B47" s="19" t="b">
        <v>0</v>
      </c>
      <c r="C47" s="15"/>
      <c r="D47" s="15">
        <f t="shared" si="0"/>
        <v>600</v>
      </c>
      <c r="E47" s="15" t="s">
        <v>9</v>
      </c>
      <c r="F47" s="21" t="s">
        <v>47</v>
      </c>
      <c r="G47" s="15">
        <v>1</v>
      </c>
      <c r="H47" s="19" t="b">
        <v>0</v>
      </c>
    </row>
    <row r="48" spans="1:8" ht="15" x14ac:dyDescent="0.3">
      <c r="A48" s="18">
        <f>SUMIF(Recept!D:D,"="&amp;F48,Recept!F:F)</f>
        <v>0</v>
      </c>
      <c r="B48" s="19" t="b">
        <v>1</v>
      </c>
      <c r="C48" s="15"/>
      <c r="D48" s="15">
        <f t="shared" si="0"/>
        <v>0</v>
      </c>
      <c r="E48" s="15" t="s">
        <v>9</v>
      </c>
      <c r="F48" s="21" t="s">
        <v>226</v>
      </c>
      <c r="G48" s="15">
        <v>1</v>
      </c>
      <c r="H48" s="19" t="b">
        <v>0</v>
      </c>
    </row>
    <row r="49" spans="1:8" ht="15" hidden="1" x14ac:dyDescent="0.3">
      <c r="A49" s="18">
        <f>SUMIF(Recept!D:D,"="&amp;F49,Recept!F:F)</f>
        <v>0</v>
      </c>
      <c r="B49" s="19" t="b">
        <v>0</v>
      </c>
      <c r="C49" s="15"/>
      <c r="D49" s="15">
        <f t="shared" si="0"/>
        <v>0</v>
      </c>
      <c r="E49" s="15" t="s">
        <v>9</v>
      </c>
      <c r="F49" s="21" t="s">
        <v>48</v>
      </c>
      <c r="G49" s="15">
        <v>1</v>
      </c>
      <c r="H49" s="19" t="b">
        <v>0</v>
      </c>
    </row>
    <row r="50" spans="1:8" ht="15" hidden="1" x14ac:dyDescent="0.3">
      <c r="A50" s="18">
        <f>SUMIF(Recept!D:D,"="&amp;F50,Recept!F:F)</f>
        <v>0</v>
      </c>
      <c r="B50" s="19" t="b">
        <v>0</v>
      </c>
      <c r="C50" s="15"/>
      <c r="D50" s="15">
        <f t="shared" si="0"/>
        <v>0</v>
      </c>
      <c r="E50" s="15" t="s">
        <v>9</v>
      </c>
      <c r="F50" s="21" t="s">
        <v>49</v>
      </c>
      <c r="G50" s="15">
        <v>1</v>
      </c>
      <c r="H50" s="19" t="b">
        <v>0</v>
      </c>
    </row>
    <row r="51" spans="1:8" ht="15" x14ac:dyDescent="0.3">
      <c r="A51" s="18">
        <f>SUMIF(Recept!D:D,"="&amp;F51,Recept!F:F)</f>
        <v>100</v>
      </c>
      <c r="B51" s="19" t="b">
        <v>1</v>
      </c>
      <c r="C51" s="15"/>
      <c r="D51" s="15">
        <f t="shared" si="0"/>
        <v>100</v>
      </c>
      <c r="E51" s="15" t="s">
        <v>9</v>
      </c>
      <c r="F51" s="21" t="s">
        <v>50</v>
      </c>
      <c r="G51" s="15">
        <v>1</v>
      </c>
      <c r="H51" s="19" t="b">
        <v>0</v>
      </c>
    </row>
    <row r="52" spans="1:8" ht="15" x14ac:dyDescent="0.3">
      <c r="A52" s="18">
        <f>SUMIF(Recept!D:D,"="&amp;F52,Recept!F:F)</f>
        <v>600</v>
      </c>
      <c r="B52" s="19" t="b">
        <v>1</v>
      </c>
      <c r="C52" s="15"/>
      <c r="D52" s="15">
        <f t="shared" si="0"/>
        <v>600</v>
      </c>
      <c r="E52" s="15" t="s">
        <v>9</v>
      </c>
      <c r="F52" s="21" t="s">
        <v>221</v>
      </c>
      <c r="G52" s="15">
        <v>1</v>
      </c>
      <c r="H52" s="19" t="b">
        <v>0</v>
      </c>
    </row>
    <row r="53" spans="1:8" ht="15" hidden="1" x14ac:dyDescent="0.3">
      <c r="A53" s="18">
        <f>SUMIF(Recept!D:D,"="&amp;F53,Recept!F:F)</f>
        <v>0</v>
      </c>
      <c r="B53" s="19" t="b">
        <v>0</v>
      </c>
      <c r="C53" s="15"/>
      <c r="D53" s="15">
        <f t="shared" si="0"/>
        <v>0</v>
      </c>
      <c r="E53" s="15" t="s">
        <v>9</v>
      </c>
      <c r="F53" s="21" t="s">
        <v>51</v>
      </c>
      <c r="G53" s="15">
        <v>1</v>
      </c>
      <c r="H53" s="19" t="b">
        <v>0</v>
      </c>
    </row>
    <row r="54" spans="1:8" ht="15" hidden="1" x14ac:dyDescent="0.3">
      <c r="A54" s="18">
        <f>SUMIF(Recept!D:D,"="&amp;F54,Recept!F:F)</f>
        <v>0</v>
      </c>
      <c r="B54" s="19" t="b">
        <v>0</v>
      </c>
      <c r="C54" s="15"/>
      <c r="D54" s="15">
        <f t="shared" si="0"/>
        <v>0</v>
      </c>
      <c r="E54" s="15" t="s">
        <v>9</v>
      </c>
      <c r="F54" s="21" t="s">
        <v>52</v>
      </c>
      <c r="G54" s="15">
        <v>1</v>
      </c>
      <c r="H54" s="19" t="b">
        <v>0</v>
      </c>
    </row>
    <row r="55" spans="1:8" ht="15" hidden="1" x14ac:dyDescent="0.3">
      <c r="A55" s="18">
        <f>SUMIF(Recept!D:D,"="&amp;F55,Recept!F:F)</f>
        <v>0</v>
      </c>
      <c r="B55" s="19" t="b">
        <v>0</v>
      </c>
      <c r="C55" s="15"/>
      <c r="D55" s="15">
        <f t="shared" si="0"/>
        <v>0</v>
      </c>
      <c r="E55" s="15" t="s">
        <v>9</v>
      </c>
      <c r="F55" s="21" t="s">
        <v>53</v>
      </c>
      <c r="G55" s="15">
        <v>1</v>
      </c>
      <c r="H55" s="19" t="b">
        <v>0</v>
      </c>
    </row>
    <row r="56" spans="1:8" ht="31.5" x14ac:dyDescent="0.3">
      <c r="A56" s="18">
        <f>SUMIF(Recept!D:D,"="&amp;F56,Recept!F:F)</f>
        <v>0</v>
      </c>
      <c r="B56" s="19" t="b">
        <v>0</v>
      </c>
      <c r="D56" s="15"/>
      <c r="F56" s="1" t="s">
        <v>54</v>
      </c>
      <c r="H56" s="19" t="b">
        <v>0</v>
      </c>
    </row>
    <row r="57" spans="1:8" ht="15" x14ac:dyDescent="0.3">
      <c r="A57" s="18">
        <f>SUMIF(Recept!D:D,"="&amp;F57,Recept!F:F)</f>
        <v>1</v>
      </c>
      <c r="B57" s="19" t="b">
        <v>1</v>
      </c>
      <c r="C57" s="15"/>
      <c r="D57" s="15">
        <f t="shared" si="0"/>
        <v>1</v>
      </c>
      <c r="E57" s="15" t="s">
        <v>7</v>
      </c>
      <c r="F57" s="21" t="s">
        <v>55</v>
      </c>
      <c r="G57" s="15">
        <v>1</v>
      </c>
      <c r="H57" s="19" t="b">
        <v>0</v>
      </c>
    </row>
    <row r="58" spans="1:8" ht="15" x14ac:dyDescent="0.3">
      <c r="A58" s="18">
        <f>SUMIF(Recept!D:D,"="&amp;F58,Recept!F:F)</f>
        <v>50</v>
      </c>
      <c r="B58" s="19" t="b">
        <v>1</v>
      </c>
      <c r="C58" s="15"/>
      <c r="D58" s="15">
        <f t="shared" si="0"/>
        <v>50</v>
      </c>
      <c r="E58" s="15" t="s">
        <v>9</v>
      </c>
      <c r="F58" s="21" t="s">
        <v>56</v>
      </c>
      <c r="G58" s="15">
        <v>1</v>
      </c>
      <c r="H58" s="19" t="b">
        <v>0</v>
      </c>
    </row>
    <row r="59" spans="1:8" ht="15" hidden="1" x14ac:dyDescent="0.3">
      <c r="A59" s="18">
        <f>SUMIF(Recept!D:D,"="&amp;F59,Recept!F:F)</f>
        <v>0</v>
      </c>
      <c r="B59" s="19" t="b">
        <v>0</v>
      </c>
      <c r="C59" s="15"/>
      <c r="D59" s="15">
        <f t="shared" si="0"/>
        <v>0</v>
      </c>
      <c r="E59" s="15" t="s">
        <v>7</v>
      </c>
      <c r="F59" s="21" t="s">
        <v>245</v>
      </c>
      <c r="G59" s="15">
        <v>1</v>
      </c>
      <c r="H59" s="19" t="b">
        <v>0</v>
      </c>
    </row>
    <row r="60" spans="1:8" ht="15" hidden="1" x14ac:dyDescent="0.3">
      <c r="A60" s="18">
        <f>SUMIF(Recept!D:D,"="&amp;F60,Recept!F:F)</f>
        <v>0</v>
      </c>
      <c r="B60" s="19" t="b">
        <v>0</v>
      </c>
      <c r="C60" s="15"/>
      <c r="D60" s="15">
        <f t="shared" si="0"/>
        <v>0</v>
      </c>
      <c r="E60" s="15" t="s">
        <v>9</v>
      </c>
      <c r="F60" s="21" t="s">
        <v>57</v>
      </c>
      <c r="G60" s="15">
        <v>1</v>
      </c>
      <c r="H60" s="19" t="b">
        <v>0</v>
      </c>
    </row>
    <row r="61" spans="1:8" ht="15" x14ac:dyDescent="0.3">
      <c r="A61" s="18">
        <f>SUMIF(Recept!D:D,"="&amp;F61,Recept!F:F)</f>
        <v>0</v>
      </c>
      <c r="B61" s="19" t="b">
        <v>1</v>
      </c>
      <c r="C61" s="15"/>
      <c r="D61" s="15">
        <f t="shared" si="0"/>
        <v>0</v>
      </c>
      <c r="E61" s="15" t="s">
        <v>9</v>
      </c>
      <c r="F61" s="21" t="s">
        <v>58</v>
      </c>
      <c r="G61" s="15">
        <v>1</v>
      </c>
      <c r="H61" s="19" t="b">
        <v>0</v>
      </c>
    </row>
    <row r="62" spans="1:8" ht="15" x14ac:dyDescent="0.3">
      <c r="A62" s="18">
        <f>SUMIF(Recept!D:D,"="&amp;F62,Recept!F:F)</f>
        <v>1</v>
      </c>
      <c r="B62" s="19" t="b">
        <v>1</v>
      </c>
      <c r="C62" s="15"/>
      <c r="D62" s="15">
        <f t="shared" si="0"/>
        <v>1</v>
      </c>
      <c r="E62" s="15" t="s">
        <v>9</v>
      </c>
      <c r="F62" s="21" t="s">
        <v>218</v>
      </c>
      <c r="G62" s="15">
        <v>1</v>
      </c>
      <c r="H62" s="19" t="b">
        <v>0</v>
      </c>
    </row>
    <row r="63" spans="1:8" ht="15" hidden="1" x14ac:dyDescent="0.3">
      <c r="A63" s="18">
        <f>SUMIF(Recept!D:D,"="&amp;F63,Recept!F:F)</f>
        <v>0</v>
      </c>
      <c r="B63" s="19" t="b">
        <v>0</v>
      </c>
      <c r="C63" s="15"/>
      <c r="D63" s="15">
        <f t="shared" si="0"/>
        <v>0</v>
      </c>
      <c r="E63" s="15" t="s">
        <v>9</v>
      </c>
      <c r="F63" s="21" t="s">
        <v>59</v>
      </c>
      <c r="G63" s="15">
        <v>1</v>
      </c>
      <c r="H63" s="19" t="b">
        <v>0</v>
      </c>
    </row>
    <row r="64" spans="1:8" ht="15" hidden="1" x14ac:dyDescent="0.3">
      <c r="A64" s="18">
        <f>SUMIF(Recept!D:D,"="&amp;F64,Recept!F:F)</f>
        <v>0</v>
      </c>
      <c r="B64" s="19" t="b">
        <v>0</v>
      </c>
      <c r="C64" s="15"/>
      <c r="D64" s="15">
        <f t="shared" si="0"/>
        <v>0</v>
      </c>
      <c r="E64" s="15" t="s">
        <v>9</v>
      </c>
      <c r="F64" s="21" t="s">
        <v>60</v>
      </c>
      <c r="G64" s="15">
        <v>1</v>
      </c>
      <c r="H64" s="19" t="b">
        <v>0</v>
      </c>
    </row>
    <row r="65" spans="1:8" ht="15" hidden="1" x14ac:dyDescent="0.3">
      <c r="A65" s="18">
        <f>SUMIF(Recept!D:D,"="&amp;F65,Recept!F:F)</f>
        <v>0</v>
      </c>
      <c r="B65" s="19" t="b">
        <v>0</v>
      </c>
      <c r="C65" s="15"/>
      <c r="D65" s="15">
        <f t="shared" si="0"/>
        <v>0</v>
      </c>
      <c r="E65" s="15" t="s">
        <v>7</v>
      </c>
      <c r="F65" s="21" t="s">
        <v>61</v>
      </c>
      <c r="G65" s="15">
        <v>1</v>
      </c>
      <c r="H65" s="19" t="b">
        <v>0</v>
      </c>
    </row>
    <row r="66" spans="1:8" ht="15" x14ac:dyDescent="0.3">
      <c r="A66" s="18">
        <f>SUMIF(Recept!D:D,"="&amp;F66,Recept!F:F)</f>
        <v>200</v>
      </c>
      <c r="B66" s="19" t="b">
        <v>1</v>
      </c>
      <c r="C66" s="15"/>
      <c r="D66" s="15">
        <f t="shared" si="0"/>
        <v>200</v>
      </c>
      <c r="E66" s="15" t="s">
        <v>62</v>
      </c>
      <c r="F66" s="21" t="s">
        <v>63</v>
      </c>
      <c r="G66" s="15">
        <v>1</v>
      </c>
      <c r="H66" s="19" t="b">
        <v>0</v>
      </c>
    </row>
    <row r="67" spans="1:8" ht="15" x14ac:dyDescent="0.3">
      <c r="A67" s="18">
        <f>SUMIF(Recept!D:D,"="&amp;F67,Recept!F:F)</f>
        <v>50</v>
      </c>
      <c r="B67" s="19" t="b">
        <v>1</v>
      </c>
      <c r="C67" s="15"/>
      <c r="D67" s="15">
        <f t="shared" si="0"/>
        <v>50</v>
      </c>
      <c r="E67" s="15" t="s">
        <v>9</v>
      </c>
      <c r="F67" s="21" t="s">
        <v>229</v>
      </c>
      <c r="G67" s="15">
        <v>1</v>
      </c>
      <c r="H67" s="19" t="b">
        <v>0</v>
      </c>
    </row>
    <row r="68" spans="1:8" ht="15" hidden="1" x14ac:dyDescent="0.3">
      <c r="A68" s="18">
        <f>SUMIF(Recept!D:D,"="&amp;F68,Recept!F:F)</f>
        <v>0</v>
      </c>
      <c r="B68" s="19" t="b">
        <v>0</v>
      </c>
      <c r="C68" s="15"/>
      <c r="D68" s="15">
        <f t="shared" si="0"/>
        <v>0</v>
      </c>
      <c r="E68" s="15" t="s">
        <v>7</v>
      </c>
      <c r="F68" s="21" t="s">
        <v>223</v>
      </c>
      <c r="G68" s="15">
        <v>1</v>
      </c>
      <c r="H68" s="19" t="b">
        <v>0</v>
      </c>
    </row>
    <row r="69" spans="1:8" ht="15" x14ac:dyDescent="0.3">
      <c r="A69" s="18">
        <f>SUMIF(Recept!D:D,"="&amp;F69,Recept!F:F)</f>
        <v>100</v>
      </c>
      <c r="B69" s="19" t="b">
        <v>1</v>
      </c>
      <c r="C69" s="15"/>
      <c r="D69" s="15">
        <f t="shared" ref="D69:D131" si="2">IF((A69-C69+(G69*H69))&lt;=0,0,(A69-C69+(G69*H69)))</f>
        <v>100</v>
      </c>
      <c r="E69" s="15" t="s">
        <v>9</v>
      </c>
      <c r="F69" s="21" t="s">
        <v>64</v>
      </c>
      <c r="G69" s="15">
        <v>1</v>
      </c>
      <c r="H69" s="19" t="b">
        <v>0</v>
      </c>
    </row>
    <row r="70" spans="1:8" ht="15" hidden="1" x14ac:dyDescent="0.3">
      <c r="A70" s="18">
        <f>SUMIF(Recept!D:D,"="&amp;F70,Recept!F:F)</f>
        <v>0</v>
      </c>
      <c r="B70" s="19" t="b">
        <v>0</v>
      </c>
      <c r="C70" s="15"/>
      <c r="D70" s="15">
        <f t="shared" si="2"/>
        <v>0</v>
      </c>
      <c r="E70" s="15" t="s">
        <v>9</v>
      </c>
      <c r="F70" s="21" t="s">
        <v>65</v>
      </c>
      <c r="G70" s="15">
        <v>1</v>
      </c>
      <c r="H70" s="19" t="b">
        <v>0</v>
      </c>
    </row>
    <row r="71" spans="1:8" ht="15" hidden="1" x14ac:dyDescent="0.3">
      <c r="A71" s="18">
        <f>SUMIF(Recept!D:D,"="&amp;F71,Recept!F:F)</f>
        <v>0</v>
      </c>
      <c r="B71" s="19" t="b">
        <v>0</v>
      </c>
      <c r="C71" s="15"/>
      <c r="D71" s="15">
        <f t="shared" si="2"/>
        <v>0</v>
      </c>
      <c r="E71" s="15" t="s">
        <v>9</v>
      </c>
      <c r="F71" s="21" t="s">
        <v>66</v>
      </c>
      <c r="G71" s="15">
        <v>1</v>
      </c>
      <c r="H71" s="19" t="b">
        <v>0</v>
      </c>
    </row>
    <row r="72" spans="1:8" ht="15" x14ac:dyDescent="0.3">
      <c r="A72" s="18">
        <f>SUMIF(Recept!D:D,"="&amp;F72,Recept!F:F)</f>
        <v>1</v>
      </c>
      <c r="B72" s="19" t="b">
        <v>1</v>
      </c>
      <c r="C72" s="15"/>
      <c r="D72" s="15">
        <f t="shared" si="2"/>
        <v>1</v>
      </c>
      <c r="E72" s="15" t="s">
        <v>9</v>
      </c>
      <c r="F72" s="21" t="s">
        <v>67</v>
      </c>
      <c r="G72" s="15">
        <v>1</v>
      </c>
      <c r="H72" s="19" t="b">
        <v>0</v>
      </c>
    </row>
    <row r="73" spans="1:8" ht="15" hidden="1" x14ac:dyDescent="0.3">
      <c r="A73" s="18">
        <f>SUMIF(Recept!D:D,"="&amp;F73,Recept!F:F)</f>
        <v>0</v>
      </c>
      <c r="B73" s="19" t="b">
        <v>0</v>
      </c>
      <c r="C73" s="15"/>
      <c r="D73" s="15">
        <f t="shared" si="2"/>
        <v>0</v>
      </c>
      <c r="E73" s="15" t="s">
        <v>62</v>
      </c>
      <c r="F73" s="21" t="s">
        <v>68</v>
      </c>
      <c r="G73" s="15">
        <v>1</v>
      </c>
      <c r="H73" s="19" t="b">
        <v>0</v>
      </c>
    </row>
    <row r="74" spans="1:8" ht="15" hidden="1" x14ac:dyDescent="0.3">
      <c r="A74" s="18">
        <f>SUMIF(Recept!D:D,"="&amp;F74,Recept!F:F)</f>
        <v>0</v>
      </c>
      <c r="B74" s="19" t="b">
        <v>0</v>
      </c>
      <c r="C74" s="15"/>
      <c r="D74" s="15">
        <f t="shared" si="2"/>
        <v>0</v>
      </c>
      <c r="E74" s="15" t="s">
        <v>7</v>
      </c>
      <c r="F74" s="21" t="s">
        <v>252</v>
      </c>
      <c r="G74" s="15">
        <v>1</v>
      </c>
      <c r="H74" s="19" t="b">
        <v>0</v>
      </c>
    </row>
    <row r="75" spans="1:8" ht="15" hidden="1" x14ac:dyDescent="0.3">
      <c r="A75" s="18">
        <f>SUMIF(Recept!D:D,"="&amp;F75,Recept!F:F)</f>
        <v>0</v>
      </c>
      <c r="B75" s="19" t="b">
        <v>0</v>
      </c>
      <c r="C75" s="15"/>
      <c r="D75" s="15">
        <f t="shared" si="2"/>
        <v>0</v>
      </c>
      <c r="E75" s="15" t="s">
        <v>9</v>
      </c>
      <c r="F75" s="21" t="s">
        <v>69</v>
      </c>
      <c r="G75" s="15">
        <v>1</v>
      </c>
      <c r="H75" s="19" t="b">
        <v>0</v>
      </c>
    </row>
    <row r="76" spans="1:8" ht="15" hidden="1" x14ac:dyDescent="0.3">
      <c r="A76" s="18">
        <f>SUMIF(Recept!D:D,"="&amp;F76,Recept!F:F)</f>
        <v>0</v>
      </c>
      <c r="B76" s="19" t="b">
        <v>0</v>
      </c>
      <c r="C76" s="15"/>
      <c r="D76" s="15">
        <f t="shared" si="2"/>
        <v>0</v>
      </c>
      <c r="E76" s="15" t="s">
        <v>9</v>
      </c>
      <c r="F76" s="21" t="s">
        <v>70</v>
      </c>
      <c r="G76" s="15">
        <v>1</v>
      </c>
      <c r="H76" s="19" t="b">
        <v>0</v>
      </c>
    </row>
    <row r="77" spans="1:8" ht="15" x14ac:dyDescent="0.3">
      <c r="A77" s="18">
        <f>SUMIF(Recept!D:D,"="&amp;F77,Recept!F:F)</f>
        <v>8</v>
      </c>
      <c r="B77" s="19" t="b">
        <v>1</v>
      </c>
      <c r="C77" s="15"/>
      <c r="D77" s="15">
        <f t="shared" si="2"/>
        <v>8</v>
      </c>
      <c r="E77" s="15" t="s">
        <v>7</v>
      </c>
      <c r="F77" s="21" t="s">
        <v>71</v>
      </c>
      <c r="G77" s="15">
        <v>1</v>
      </c>
      <c r="H77" s="19" t="b">
        <v>0</v>
      </c>
    </row>
    <row r="78" spans="1:8" ht="31.5" x14ac:dyDescent="0.3">
      <c r="A78" s="18">
        <f>SUMIF(Recept!D:D,"="&amp;F78,Recept!F:F)</f>
        <v>0</v>
      </c>
      <c r="B78" s="19" t="b">
        <v>0</v>
      </c>
      <c r="D78" s="15"/>
      <c r="F78" s="1" t="s">
        <v>72</v>
      </c>
      <c r="H78" s="19" t="b">
        <v>0</v>
      </c>
    </row>
    <row r="79" spans="1:8" ht="15" hidden="1" x14ac:dyDescent="0.3">
      <c r="A79" s="18">
        <f>SUMIF(Recept!D:D,"="&amp;F79,Recept!F:F)</f>
        <v>0</v>
      </c>
      <c r="B79" s="19" t="b">
        <v>0</v>
      </c>
      <c r="C79" s="15"/>
      <c r="D79" s="15">
        <f t="shared" si="2"/>
        <v>0</v>
      </c>
      <c r="E79" s="15" t="s">
        <v>9</v>
      </c>
      <c r="F79" s="21" t="s">
        <v>234</v>
      </c>
      <c r="G79" s="15">
        <v>1</v>
      </c>
      <c r="H79" s="19" t="b">
        <v>0</v>
      </c>
    </row>
    <row r="80" spans="1:8" ht="15" x14ac:dyDescent="0.3">
      <c r="A80" s="18">
        <f>SUMIF(Recept!D:D,"="&amp;F80,Recept!F:F)</f>
        <v>2</v>
      </c>
      <c r="B80" s="19" t="b">
        <v>1</v>
      </c>
      <c r="C80" s="15"/>
      <c r="D80" s="15">
        <f t="shared" si="2"/>
        <v>2</v>
      </c>
      <c r="E80" s="15" t="s">
        <v>7</v>
      </c>
      <c r="F80" s="21" t="s">
        <v>79</v>
      </c>
      <c r="G80" s="15">
        <v>1</v>
      </c>
      <c r="H80" s="19" t="b">
        <v>0</v>
      </c>
    </row>
    <row r="81" spans="1:8" ht="15" x14ac:dyDescent="0.3">
      <c r="A81" s="18">
        <f>SUMIF(Recept!D:D,"="&amp;F81,Recept!F:F)</f>
        <v>65</v>
      </c>
      <c r="B81" s="19" t="b">
        <v>1</v>
      </c>
      <c r="C81" s="15"/>
      <c r="D81" s="15">
        <f t="shared" si="2"/>
        <v>65</v>
      </c>
      <c r="E81" s="15" t="s">
        <v>9</v>
      </c>
      <c r="F81" s="15" t="s">
        <v>83</v>
      </c>
      <c r="G81" s="15">
        <v>1</v>
      </c>
      <c r="H81" s="19" t="b">
        <v>0</v>
      </c>
    </row>
    <row r="82" spans="1:8" ht="15" hidden="1" x14ac:dyDescent="0.3">
      <c r="A82" s="18">
        <f>SUMIF(Recept!D:D,"="&amp;F82,Recept!F:F)</f>
        <v>0</v>
      </c>
      <c r="B82" s="19" t="b">
        <v>0</v>
      </c>
      <c r="C82" s="15"/>
      <c r="D82" s="15">
        <f t="shared" si="2"/>
        <v>0</v>
      </c>
      <c r="E82" s="15" t="s">
        <v>9</v>
      </c>
      <c r="F82" s="21" t="s">
        <v>91</v>
      </c>
      <c r="G82" s="15">
        <v>1</v>
      </c>
      <c r="H82" s="19" t="b">
        <v>0</v>
      </c>
    </row>
    <row r="83" spans="1:8" ht="15" x14ac:dyDescent="0.3">
      <c r="A83" s="18">
        <f>SUMIF(Recept!D:D,"="&amp;F83,Recept!F:F)</f>
        <v>30</v>
      </c>
      <c r="B83" s="19" t="b">
        <v>1</v>
      </c>
      <c r="C83" s="15"/>
      <c r="D83" s="15">
        <f t="shared" si="2"/>
        <v>30</v>
      </c>
      <c r="E83" s="15" t="s">
        <v>9</v>
      </c>
      <c r="F83" s="21" t="s">
        <v>237</v>
      </c>
      <c r="G83" s="15">
        <v>1</v>
      </c>
      <c r="H83" s="19" t="b">
        <v>0</v>
      </c>
    </row>
    <row r="84" spans="1:8" ht="15" x14ac:dyDescent="0.3">
      <c r="A84" s="18">
        <f>SUMIF(Recept!D:D,"="&amp;F84,Recept!F:F)</f>
        <v>2</v>
      </c>
      <c r="B84" s="19" t="b">
        <v>1</v>
      </c>
      <c r="C84" s="15"/>
      <c r="D84" s="15">
        <f t="shared" si="2"/>
        <v>2</v>
      </c>
      <c r="E84" s="15" t="s">
        <v>7</v>
      </c>
      <c r="F84" s="21" t="s">
        <v>103</v>
      </c>
      <c r="G84" s="15">
        <v>1</v>
      </c>
      <c r="H84" s="19" t="b">
        <v>0</v>
      </c>
    </row>
    <row r="85" spans="1:8" ht="15" hidden="1" x14ac:dyDescent="0.3">
      <c r="A85" s="18">
        <f>SUMIF(Recept!D:D,"="&amp;F85,Recept!F:F)</f>
        <v>0</v>
      </c>
      <c r="B85" s="19" t="b">
        <v>0</v>
      </c>
      <c r="C85" s="15"/>
      <c r="D85" s="15">
        <f t="shared" si="2"/>
        <v>0</v>
      </c>
      <c r="E85" s="15" t="s">
        <v>7</v>
      </c>
      <c r="F85" s="15" t="s">
        <v>108</v>
      </c>
      <c r="G85" s="15">
        <v>1</v>
      </c>
      <c r="H85" s="19" t="b">
        <v>0</v>
      </c>
    </row>
    <row r="86" spans="1:8" ht="15" hidden="1" x14ac:dyDescent="0.3">
      <c r="A86" s="18">
        <f>SUMIF(Recept!D:D,"="&amp;F86,Recept!F:F)</f>
        <v>0</v>
      </c>
      <c r="B86" s="19" t="b">
        <v>0</v>
      </c>
      <c r="C86" s="15"/>
      <c r="D86" s="15">
        <f t="shared" si="2"/>
        <v>0</v>
      </c>
      <c r="E86" s="15" t="s">
        <v>7</v>
      </c>
      <c r="F86" s="21" t="s">
        <v>111</v>
      </c>
      <c r="G86" s="15">
        <v>1</v>
      </c>
      <c r="H86" s="19" t="b">
        <v>0</v>
      </c>
    </row>
    <row r="87" spans="1:8" ht="31.5" x14ac:dyDescent="0.3">
      <c r="A87" s="18">
        <f>SUMIF(Recept!D:D,"="&amp;F87,Recept!F:F)</f>
        <v>0</v>
      </c>
      <c r="B87" s="19" t="b">
        <v>0</v>
      </c>
      <c r="D87" s="15"/>
      <c r="F87" s="1" t="s">
        <v>112</v>
      </c>
      <c r="H87" s="19" t="b">
        <v>0</v>
      </c>
    </row>
    <row r="88" spans="1:8" ht="15" x14ac:dyDescent="0.3">
      <c r="A88" s="18">
        <f>SUMIF(Recept!D:D,"="&amp;F88,Recept!F:F)</f>
        <v>100</v>
      </c>
      <c r="B88" s="19" t="b">
        <v>1</v>
      </c>
      <c r="C88" s="15"/>
      <c r="D88" s="15">
        <f t="shared" si="2"/>
        <v>100</v>
      </c>
      <c r="E88" s="15" t="s">
        <v>7</v>
      </c>
      <c r="F88" s="21" t="s">
        <v>117</v>
      </c>
      <c r="G88" s="15">
        <v>1</v>
      </c>
      <c r="H88" s="19" t="b">
        <v>0</v>
      </c>
    </row>
    <row r="89" spans="1:8" ht="15" x14ac:dyDescent="0.3">
      <c r="A89" s="18">
        <f>SUMIF(Recept!D:D,"="&amp;F89,Recept!F:F)</f>
        <v>10</v>
      </c>
      <c r="B89" s="19" t="b">
        <v>1</v>
      </c>
      <c r="C89" s="15"/>
      <c r="D89" s="15">
        <f t="shared" si="2"/>
        <v>10</v>
      </c>
      <c r="E89" s="15" t="s">
        <v>9</v>
      </c>
      <c r="F89" s="21" t="s">
        <v>257</v>
      </c>
      <c r="G89" s="15"/>
      <c r="H89" s="19" t="b">
        <v>0</v>
      </c>
    </row>
    <row r="90" spans="1:8" ht="15" hidden="1" x14ac:dyDescent="0.3">
      <c r="A90" s="18">
        <f>SUMIF(Recept!D:D,"="&amp;F90,Recept!F:F)</f>
        <v>0</v>
      </c>
      <c r="B90" s="19" t="b">
        <v>0</v>
      </c>
      <c r="C90" s="15"/>
      <c r="D90" s="15">
        <f t="shared" si="2"/>
        <v>0</v>
      </c>
      <c r="E90" s="15" t="s">
        <v>9</v>
      </c>
      <c r="F90" s="21" t="s">
        <v>244</v>
      </c>
      <c r="G90" s="15">
        <v>1</v>
      </c>
      <c r="H90" s="19" t="b">
        <v>0</v>
      </c>
    </row>
    <row r="91" spans="1:8" ht="15" x14ac:dyDescent="0.3">
      <c r="A91" s="18">
        <f>SUMIF(Recept!D:D,"="&amp;F91,Recept!F:F)</f>
        <v>100</v>
      </c>
      <c r="B91" s="19" t="b">
        <v>1</v>
      </c>
      <c r="C91" s="15"/>
      <c r="D91" s="15">
        <f t="shared" si="2"/>
        <v>100</v>
      </c>
      <c r="E91" s="15" t="s">
        <v>9</v>
      </c>
      <c r="F91" s="21" t="s">
        <v>118</v>
      </c>
      <c r="G91" s="15">
        <v>1</v>
      </c>
      <c r="H91" s="19" t="b">
        <v>0</v>
      </c>
    </row>
    <row r="92" spans="1:8" ht="15" hidden="1" x14ac:dyDescent="0.3">
      <c r="A92" s="18">
        <f>SUMIF(Recept!D:D,"="&amp;F92,Recept!F:F)</f>
        <v>0</v>
      </c>
      <c r="B92" s="19" t="b">
        <v>0</v>
      </c>
      <c r="C92" s="15"/>
      <c r="D92" s="15">
        <f t="shared" si="2"/>
        <v>0</v>
      </c>
      <c r="E92" s="15" t="s">
        <v>9</v>
      </c>
      <c r="F92" s="21" t="s">
        <v>241</v>
      </c>
      <c r="G92" s="15">
        <v>1</v>
      </c>
      <c r="H92" s="19" t="b">
        <v>0</v>
      </c>
    </row>
    <row r="93" spans="1:8" ht="15" hidden="1" x14ac:dyDescent="0.3">
      <c r="A93" s="18">
        <f>SUMIF(Recept!D:D,"="&amp;F93,Recept!F:F)</f>
        <v>0</v>
      </c>
      <c r="B93" s="19" t="b">
        <v>0</v>
      </c>
      <c r="C93" s="15"/>
      <c r="D93" s="15">
        <f t="shared" si="2"/>
        <v>0</v>
      </c>
      <c r="E93" s="15" t="s">
        <v>9</v>
      </c>
      <c r="F93" s="21" t="s">
        <v>113</v>
      </c>
      <c r="G93" s="15">
        <v>1</v>
      </c>
      <c r="H93" s="19" t="b">
        <v>0</v>
      </c>
    </row>
    <row r="94" spans="1:8" ht="15" hidden="1" x14ac:dyDescent="0.3">
      <c r="A94" s="18">
        <f>SUMIF(Recept!D:D,"="&amp;F94,Recept!F:F)</f>
        <v>0</v>
      </c>
      <c r="B94" s="19" t="b">
        <v>0</v>
      </c>
      <c r="C94" s="15"/>
      <c r="D94" s="15">
        <f t="shared" si="2"/>
        <v>0</v>
      </c>
      <c r="E94" s="15" t="s">
        <v>62</v>
      </c>
      <c r="F94" s="21" t="s">
        <v>114</v>
      </c>
      <c r="G94" s="15">
        <v>1</v>
      </c>
      <c r="H94" s="19" t="b">
        <v>0</v>
      </c>
    </row>
    <row r="95" spans="1:8" ht="15" hidden="1" x14ac:dyDescent="0.3">
      <c r="A95" s="18">
        <f>SUMIF(Recept!D:D,"="&amp;F95,Recept!F:F)</f>
        <v>0</v>
      </c>
      <c r="B95" s="19" t="b">
        <v>0</v>
      </c>
      <c r="C95" s="15"/>
      <c r="D95" s="15">
        <f t="shared" si="2"/>
        <v>0</v>
      </c>
      <c r="E95" s="15" t="s">
        <v>9</v>
      </c>
      <c r="F95" s="21" t="s">
        <v>242</v>
      </c>
      <c r="G95" s="15">
        <v>1</v>
      </c>
      <c r="H95" s="19" t="b">
        <v>0</v>
      </c>
    </row>
    <row r="96" spans="1:8" ht="15" hidden="1" x14ac:dyDescent="0.3">
      <c r="A96" s="18">
        <f>SUMIF(Recept!D:D,"="&amp;F96,Recept!F:F)</f>
        <v>0</v>
      </c>
      <c r="B96" s="19" t="b">
        <v>0</v>
      </c>
      <c r="C96" s="15"/>
      <c r="D96" s="15">
        <f t="shared" si="2"/>
        <v>0</v>
      </c>
      <c r="E96" s="15" t="s">
        <v>7</v>
      </c>
      <c r="F96" s="21" t="s">
        <v>115</v>
      </c>
      <c r="G96" s="15">
        <v>1</v>
      </c>
      <c r="H96" s="19" t="b">
        <v>0</v>
      </c>
    </row>
    <row r="97" spans="1:8" ht="15" x14ac:dyDescent="0.3">
      <c r="A97" s="18">
        <f>SUMIF(Recept!D:D,"="&amp;F97,Recept!F:F)</f>
        <v>100</v>
      </c>
      <c r="B97" s="19" t="b">
        <v>1</v>
      </c>
      <c r="C97" s="15"/>
      <c r="D97" s="15">
        <f t="shared" si="2"/>
        <v>100</v>
      </c>
      <c r="E97" s="15" t="s">
        <v>9</v>
      </c>
      <c r="F97" s="21" t="s">
        <v>116</v>
      </c>
      <c r="G97" s="15">
        <v>1</v>
      </c>
      <c r="H97" s="19" t="b">
        <v>0</v>
      </c>
    </row>
    <row r="98" spans="1:8" ht="15" hidden="1" x14ac:dyDescent="0.3">
      <c r="A98" s="18">
        <f>SUMIF(Recept!D:D,"="&amp;F98,Recept!F:F)</f>
        <v>0</v>
      </c>
      <c r="B98" s="19" t="b">
        <v>0</v>
      </c>
      <c r="C98" s="15"/>
      <c r="D98" s="15">
        <f t="shared" si="2"/>
        <v>0</v>
      </c>
      <c r="E98" s="15" t="s">
        <v>9</v>
      </c>
      <c r="F98" s="21" t="s">
        <v>243</v>
      </c>
      <c r="G98" s="15">
        <v>1</v>
      </c>
      <c r="H98" s="19" t="b">
        <v>0</v>
      </c>
    </row>
    <row r="99" spans="1:8" ht="31.5" x14ac:dyDescent="0.3">
      <c r="A99" s="18">
        <f>SUMIF(Recept!D:D,"="&amp;F99,Recept!F:F)</f>
        <v>0</v>
      </c>
      <c r="B99" s="19" t="b">
        <v>0</v>
      </c>
      <c r="D99" s="15"/>
      <c r="F99" s="1" t="s">
        <v>119</v>
      </c>
      <c r="H99" s="19" t="b">
        <v>0</v>
      </c>
    </row>
    <row r="100" spans="1:8" ht="15" hidden="1" x14ac:dyDescent="0.3">
      <c r="A100" s="18">
        <f>SUMIF(Recept!D:D,"="&amp;F100,Recept!F:F)</f>
        <v>0</v>
      </c>
      <c r="B100" s="19" t="b">
        <v>0</v>
      </c>
      <c r="C100" s="15"/>
      <c r="D100" s="15">
        <f t="shared" si="2"/>
        <v>0</v>
      </c>
      <c r="E100" s="15" t="s">
        <v>7</v>
      </c>
      <c r="F100" s="15" t="s">
        <v>73</v>
      </c>
      <c r="G100" s="15">
        <v>1</v>
      </c>
      <c r="H100" s="19" t="b">
        <v>0</v>
      </c>
    </row>
    <row r="101" spans="1:8" ht="15" hidden="1" x14ac:dyDescent="0.3">
      <c r="A101" s="18">
        <f>SUMIF(Recept!D:D,"="&amp;F101,Recept!F:F)</f>
        <v>0</v>
      </c>
      <c r="B101" s="19" t="b">
        <v>0</v>
      </c>
      <c r="C101" s="15"/>
      <c r="D101" s="15">
        <f t="shared" si="2"/>
        <v>0</v>
      </c>
      <c r="E101" s="15" t="s">
        <v>7</v>
      </c>
      <c r="F101" s="15" t="s">
        <v>74</v>
      </c>
      <c r="G101" s="15">
        <v>1</v>
      </c>
      <c r="H101" s="19" t="b">
        <v>0</v>
      </c>
    </row>
    <row r="102" spans="1:8" ht="15" x14ac:dyDescent="0.3">
      <c r="A102" s="18">
        <f>SUMIF(Recept!D:D,"="&amp;F102,Recept!F:F)</f>
        <v>30</v>
      </c>
      <c r="B102" s="19" t="b">
        <v>1</v>
      </c>
      <c r="C102" s="15"/>
      <c r="D102" s="15">
        <f t="shared" si="2"/>
        <v>30</v>
      </c>
      <c r="E102" s="15" t="s">
        <v>9</v>
      </c>
      <c r="F102" s="15" t="s">
        <v>255</v>
      </c>
      <c r="G102" s="15"/>
      <c r="H102" s="19" t="b">
        <v>0</v>
      </c>
    </row>
    <row r="103" spans="1:8" ht="15" hidden="1" x14ac:dyDescent="0.3">
      <c r="A103" s="18">
        <f>SUMIF(Recept!D:D,"="&amp;F103,Recept!F:F)</f>
        <v>0</v>
      </c>
      <c r="B103" s="19" t="b">
        <v>0</v>
      </c>
      <c r="C103" s="15"/>
      <c r="D103" s="15">
        <f t="shared" si="2"/>
        <v>0</v>
      </c>
      <c r="E103" s="15" t="s">
        <v>7</v>
      </c>
      <c r="F103" s="15" t="s">
        <v>75</v>
      </c>
      <c r="G103" s="15">
        <v>1</v>
      </c>
      <c r="H103" s="19" t="b">
        <v>0</v>
      </c>
    </row>
    <row r="104" spans="1:8" ht="15" hidden="1" x14ac:dyDescent="0.3">
      <c r="A104" s="18">
        <f>SUMIF(Recept!D:D,"="&amp;F104,Recept!F:F)</f>
        <v>0</v>
      </c>
      <c r="B104" s="19" t="b">
        <v>0</v>
      </c>
      <c r="C104" s="15"/>
      <c r="D104" s="15">
        <f t="shared" si="2"/>
        <v>0</v>
      </c>
      <c r="E104" s="15" t="s">
        <v>7</v>
      </c>
      <c r="F104" s="21" t="s">
        <v>120</v>
      </c>
      <c r="G104" s="15">
        <v>1</v>
      </c>
      <c r="H104" s="19" t="b">
        <v>0</v>
      </c>
    </row>
    <row r="105" spans="1:8" ht="15" hidden="1" x14ac:dyDescent="0.3">
      <c r="A105" s="18">
        <f>SUMIF(Recept!D:D,"="&amp;F105,Recept!F:F)</f>
        <v>0</v>
      </c>
      <c r="B105" s="19" t="b">
        <v>0</v>
      </c>
      <c r="C105" s="15"/>
      <c r="D105" s="15">
        <f t="shared" si="2"/>
        <v>0</v>
      </c>
      <c r="E105" s="15" t="s">
        <v>7</v>
      </c>
      <c r="F105" s="15" t="s">
        <v>248</v>
      </c>
      <c r="G105" s="15">
        <v>1</v>
      </c>
      <c r="H105" s="19" t="b">
        <v>0</v>
      </c>
    </row>
    <row r="106" spans="1:8" ht="15" hidden="1" x14ac:dyDescent="0.3">
      <c r="A106" s="18">
        <f>SUMIF(Recept!D:D,"="&amp;F106,Recept!F:F)</f>
        <v>0</v>
      </c>
      <c r="B106" s="19" t="b">
        <v>0</v>
      </c>
      <c r="C106" s="15"/>
      <c r="D106" s="15">
        <f t="shared" si="2"/>
        <v>0</v>
      </c>
      <c r="E106" s="15" t="s">
        <v>7</v>
      </c>
      <c r="F106" s="15" t="s">
        <v>76</v>
      </c>
      <c r="G106" s="15">
        <v>1</v>
      </c>
      <c r="H106" s="19" t="b">
        <v>0</v>
      </c>
    </row>
    <row r="107" spans="1:8" ht="15" hidden="1" x14ac:dyDescent="0.3">
      <c r="A107" s="18">
        <f>SUMIF(Recept!D:D,"="&amp;F107,Recept!F:F)</f>
        <v>0</v>
      </c>
      <c r="B107" s="19" t="b">
        <v>0</v>
      </c>
      <c r="C107" s="15"/>
      <c r="D107" s="15">
        <f t="shared" si="2"/>
        <v>0</v>
      </c>
      <c r="E107" s="15" t="s">
        <v>7</v>
      </c>
      <c r="F107" s="15" t="s">
        <v>77</v>
      </c>
      <c r="G107" s="15">
        <v>1</v>
      </c>
      <c r="H107" s="19" t="b">
        <v>0</v>
      </c>
    </row>
    <row r="108" spans="1:8" ht="15" hidden="1" x14ac:dyDescent="0.3">
      <c r="A108" s="18">
        <f>SUMIF(Recept!D:D,"="&amp;F108,Recept!F:F)</f>
        <v>0</v>
      </c>
      <c r="B108" s="19" t="b">
        <v>0</v>
      </c>
      <c r="C108" s="15"/>
      <c r="D108" s="15">
        <f t="shared" si="2"/>
        <v>0</v>
      </c>
      <c r="E108" s="15" t="s">
        <v>7</v>
      </c>
      <c r="F108" s="15" t="s">
        <v>78</v>
      </c>
      <c r="G108" s="15">
        <v>1</v>
      </c>
      <c r="H108" s="19" t="b">
        <v>0</v>
      </c>
    </row>
    <row r="109" spans="1:8" ht="15" hidden="1" x14ac:dyDescent="0.3">
      <c r="A109" s="18">
        <f>SUMIF(Recept!D:D,"="&amp;F109,Recept!F:F)</f>
        <v>0</v>
      </c>
      <c r="B109" s="19" t="b">
        <v>0</v>
      </c>
      <c r="C109" s="15"/>
      <c r="D109" s="15">
        <f t="shared" si="2"/>
        <v>0</v>
      </c>
      <c r="E109" s="15" t="s">
        <v>7</v>
      </c>
      <c r="F109" s="15" t="s">
        <v>80</v>
      </c>
      <c r="G109" s="15">
        <v>1</v>
      </c>
      <c r="H109" s="19" t="b">
        <v>0</v>
      </c>
    </row>
    <row r="110" spans="1:8" ht="15" hidden="1" x14ac:dyDescent="0.3">
      <c r="A110" s="18">
        <f>SUMIF(Recept!D:D,"="&amp;F110,Recept!F:F)</f>
        <v>0</v>
      </c>
      <c r="B110" s="19" t="b">
        <v>0</v>
      </c>
      <c r="C110" s="15"/>
      <c r="D110" s="15">
        <f t="shared" si="2"/>
        <v>0</v>
      </c>
      <c r="E110" s="15" t="s">
        <v>7</v>
      </c>
      <c r="F110" s="21" t="s">
        <v>81</v>
      </c>
      <c r="G110" s="15">
        <v>1</v>
      </c>
      <c r="H110" s="19" t="b">
        <v>0</v>
      </c>
    </row>
    <row r="111" spans="1:8" ht="15" hidden="1" x14ac:dyDescent="0.3">
      <c r="A111" s="18">
        <f>SUMIF(Recept!D:D,"="&amp;F111,Recept!F:F)</f>
        <v>0</v>
      </c>
      <c r="B111" s="19" t="b">
        <v>0</v>
      </c>
      <c r="C111" s="15"/>
      <c r="D111" s="15">
        <f t="shared" si="2"/>
        <v>0</v>
      </c>
      <c r="E111" s="15" t="s">
        <v>7</v>
      </c>
      <c r="F111" s="15" t="s">
        <v>81</v>
      </c>
      <c r="G111" s="15">
        <v>1</v>
      </c>
      <c r="H111" s="19" t="b">
        <v>0</v>
      </c>
    </row>
    <row r="112" spans="1:8" ht="15" hidden="1" x14ac:dyDescent="0.3">
      <c r="A112" s="18">
        <f>SUMIF(Recept!D:D,"="&amp;F112,Recept!F:F)</f>
        <v>0</v>
      </c>
      <c r="B112" s="19" t="b">
        <v>0</v>
      </c>
      <c r="C112" s="15"/>
      <c r="D112" s="15">
        <f t="shared" si="2"/>
        <v>0</v>
      </c>
      <c r="E112" s="15" t="s">
        <v>7</v>
      </c>
      <c r="F112" s="15" t="s">
        <v>82</v>
      </c>
      <c r="G112" s="15">
        <v>1</v>
      </c>
      <c r="H112" s="19" t="b">
        <v>0</v>
      </c>
    </row>
    <row r="113" spans="1:8" ht="15" hidden="1" x14ac:dyDescent="0.3">
      <c r="A113" s="18">
        <f>SUMIF(Recept!D:D,"="&amp;F113,Recept!F:F)</f>
        <v>0</v>
      </c>
      <c r="B113" s="19" t="b">
        <v>0</v>
      </c>
      <c r="C113" s="15"/>
      <c r="D113" s="15">
        <f t="shared" si="2"/>
        <v>0</v>
      </c>
      <c r="E113" s="15" t="s">
        <v>7</v>
      </c>
      <c r="F113" s="15" t="s">
        <v>84</v>
      </c>
      <c r="G113" s="15">
        <v>1</v>
      </c>
      <c r="H113" s="19" t="b">
        <v>0</v>
      </c>
    </row>
    <row r="114" spans="1:8" ht="15" hidden="1" x14ac:dyDescent="0.3">
      <c r="A114" s="18">
        <f>SUMIF(Recept!D:D,"="&amp;F114,Recept!F:F)</f>
        <v>0</v>
      </c>
      <c r="B114" s="19" t="b">
        <v>0</v>
      </c>
      <c r="C114" s="15"/>
      <c r="D114" s="15">
        <f t="shared" si="2"/>
        <v>0</v>
      </c>
      <c r="E114" s="15" t="s">
        <v>7</v>
      </c>
      <c r="F114" s="15" t="s">
        <v>85</v>
      </c>
      <c r="G114" s="15">
        <v>1</v>
      </c>
      <c r="H114" s="19" t="b">
        <v>0</v>
      </c>
    </row>
    <row r="115" spans="1:8" ht="15" hidden="1" x14ac:dyDescent="0.3">
      <c r="A115" s="18">
        <f>SUMIF(Recept!D:D,"="&amp;F115,Recept!F:F)</f>
        <v>0</v>
      </c>
      <c r="B115" s="19" t="b">
        <v>0</v>
      </c>
      <c r="C115" s="15"/>
      <c r="D115" s="15">
        <f t="shared" si="2"/>
        <v>0</v>
      </c>
      <c r="E115" s="15" t="s">
        <v>7</v>
      </c>
      <c r="F115" s="15" t="s">
        <v>86</v>
      </c>
      <c r="G115" s="15">
        <v>1</v>
      </c>
      <c r="H115" s="19" t="b">
        <v>0</v>
      </c>
    </row>
    <row r="116" spans="1:8" ht="15" hidden="1" x14ac:dyDescent="0.3">
      <c r="A116" s="18">
        <f>SUMIF(Recept!D:D,"="&amp;F116,Recept!F:F)</f>
        <v>0</v>
      </c>
      <c r="B116" s="19" t="b">
        <v>0</v>
      </c>
      <c r="C116" s="15"/>
      <c r="D116" s="15">
        <f t="shared" si="2"/>
        <v>0</v>
      </c>
      <c r="E116" s="15" t="s">
        <v>7</v>
      </c>
      <c r="F116" s="21" t="s">
        <v>121</v>
      </c>
      <c r="G116" s="15">
        <v>1</v>
      </c>
      <c r="H116" s="19" t="b">
        <v>0</v>
      </c>
    </row>
    <row r="117" spans="1:8" ht="15" hidden="1" x14ac:dyDescent="0.3">
      <c r="A117" s="18">
        <f>SUMIF(Recept!D:D,"="&amp;F117,Recept!F:F)</f>
        <v>0</v>
      </c>
      <c r="B117" s="19" t="b">
        <v>0</v>
      </c>
      <c r="C117" s="15"/>
      <c r="D117" s="15">
        <f t="shared" si="2"/>
        <v>0</v>
      </c>
      <c r="E117" s="15" t="s">
        <v>7</v>
      </c>
      <c r="F117" s="15" t="s">
        <v>88</v>
      </c>
      <c r="G117" s="15">
        <v>1</v>
      </c>
      <c r="H117" s="19" t="b">
        <v>0</v>
      </c>
    </row>
    <row r="118" spans="1:8" ht="15" hidden="1" x14ac:dyDescent="0.3">
      <c r="A118" s="18">
        <f>SUMIF(Recept!D:D,"="&amp;F118,Recept!F:F)</f>
        <v>0</v>
      </c>
      <c r="B118" s="19" t="b">
        <v>0</v>
      </c>
      <c r="C118" s="15"/>
      <c r="D118" s="15">
        <f t="shared" si="2"/>
        <v>0</v>
      </c>
      <c r="E118" s="15" t="s">
        <v>7</v>
      </c>
      <c r="F118" s="15" t="s">
        <v>89</v>
      </c>
      <c r="G118" s="15">
        <v>1</v>
      </c>
      <c r="H118" s="19" t="b">
        <v>0</v>
      </c>
    </row>
    <row r="119" spans="1:8" ht="15" hidden="1" x14ac:dyDescent="0.3">
      <c r="A119" s="18">
        <f>SUMIF(Recept!D:D,"="&amp;F119,Recept!F:F)</f>
        <v>0</v>
      </c>
      <c r="B119" s="19" t="b">
        <v>0</v>
      </c>
      <c r="C119" s="15"/>
      <c r="D119" s="15">
        <f t="shared" si="2"/>
        <v>0</v>
      </c>
      <c r="E119" s="15" t="s">
        <v>7</v>
      </c>
      <c r="F119" s="15" t="s">
        <v>90</v>
      </c>
      <c r="G119" s="15">
        <v>1</v>
      </c>
      <c r="H119" s="19" t="b">
        <v>0</v>
      </c>
    </row>
    <row r="120" spans="1:8" ht="15" hidden="1" x14ac:dyDescent="0.3">
      <c r="A120" s="18">
        <f>SUMIF(Recept!D:D,"="&amp;F120,Recept!F:F)</f>
        <v>0</v>
      </c>
      <c r="B120" s="19" t="b">
        <v>0</v>
      </c>
      <c r="C120" s="15"/>
      <c r="D120" s="15">
        <f t="shared" si="2"/>
        <v>0</v>
      </c>
      <c r="E120" s="15" t="s">
        <v>7</v>
      </c>
      <c r="F120" s="15" t="s">
        <v>92</v>
      </c>
      <c r="G120" s="15">
        <v>1</v>
      </c>
      <c r="H120" s="19" t="b">
        <v>0</v>
      </c>
    </row>
    <row r="121" spans="1:8" ht="15" x14ac:dyDescent="0.3">
      <c r="A121" s="18">
        <f>SUMIF(Recept!D:D,"="&amp;F121,Recept!F:F)</f>
        <v>20</v>
      </c>
      <c r="B121" s="19" t="b">
        <v>1</v>
      </c>
      <c r="C121" s="15"/>
      <c r="D121" s="15">
        <f t="shared" si="2"/>
        <v>20</v>
      </c>
      <c r="E121" s="15" t="s">
        <v>9</v>
      </c>
      <c r="F121" s="15" t="s">
        <v>93</v>
      </c>
      <c r="G121" s="15">
        <v>1</v>
      </c>
      <c r="H121" s="19" t="b">
        <v>0</v>
      </c>
    </row>
    <row r="122" spans="1:8" ht="15" hidden="1" x14ac:dyDescent="0.3">
      <c r="A122" s="18">
        <f>SUMIF(Recept!D:D,"="&amp;F122,Recept!F:F)</f>
        <v>0</v>
      </c>
      <c r="B122" s="19" t="b">
        <v>0</v>
      </c>
      <c r="C122" s="15"/>
      <c r="D122" s="15">
        <f t="shared" si="2"/>
        <v>0</v>
      </c>
      <c r="E122" s="15" t="s">
        <v>7</v>
      </c>
      <c r="F122" s="15" t="s">
        <v>94</v>
      </c>
      <c r="G122" s="15">
        <v>1</v>
      </c>
      <c r="H122" s="19" t="b">
        <v>0</v>
      </c>
    </row>
    <row r="123" spans="1:8" ht="15" hidden="1" x14ac:dyDescent="0.3">
      <c r="A123" s="18">
        <f>SUMIF(Recept!D:D,"="&amp;F123,Recept!F:F)</f>
        <v>0</v>
      </c>
      <c r="B123" s="19" t="b">
        <v>0</v>
      </c>
      <c r="C123" s="15"/>
      <c r="D123" s="15">
        <f t="shared" si="2"/>
        <v>0</v>
      </c>
      <c r="E123" s="15" t="s">
        <v>7</v>
      </c>
      <c r="F123" s="15" t="s">
        <v>95</v>
      </c>
      <c r="G123" s="15">
        <v>1</v>
      </c>
      <c r="H123" s="19" t="b">
        <v>0</v>
      </c>
    </row>
    <row r="124" spans="1:8" ht="15" hidden="1" x14ac:dyDescent="0.3">
      <c r="A124" s="18">
        <f>SUMIF(Recept!D:D,"="&amp;F124,Recept!F:F)</f>
        <v>0</v>
      </c>
      <c r="B124" s="19" t="b">
        <v>0</v>
      </c>
      <c r="C124" s="15"/>
      <c r="D124" s="15">
        <f t="shared" si="2"/>
        <v>0</v>
      </c>
      <c r="E124" s="15" t="s">
        <v>7</v>
      </c>
      <c r="F124" s="15" t="s">
        <v>261</v>
      </c>
      <c r="G124" s="15">
        <v>1</v>
      </c>
      <c r="H124" s="19" t="b">
        <v>0</v>
      </c>
    </row>
    <row r="125" spans="1:8" ht="15" hidden="1" x14ac:dyDescent="0.3">
      <c r="A125" s="18">
        <f>SUMIF(Recept!D:D,"="&amp;F125,Recept!F:F)</f>
        <v>0</v>
      </c>
      <c r="B125" s="19" t="b">
        <v>0</v>
      </c>
      <c r="C125" s="15"/>
      <c r="D125" s="15">
        <f t="shared" si="2"/>
        <v>0</v>
      </c>
      <c r="E125" s="15" t="s">
        <v>7</v>
      </c>
      <c r="F125" s="21" t="s">
        <v>122</v>
      </c>
      <c r="G125" s="15">
        <v>1</v>
      </c>
      <c r="H125" s="19" t="b">
        <v>0</v>
      </c>
    </row>
    <row r="126" spans="1:8" ht="15" hidden="1" x14ac:dyDescent="0.3">
      <c r="A126" s="18">
        <f>SUMIF(Recept!D:D,"="&amp;F126,Recept!F:F)</f>
        <v>0</v>
      </c>
      <c r="B126" s="19" t="b">
        <v>0</v>
      </c>
      <c r="C126" s="15"/>
      <c r="D126" s="15">
        <f t="shared" si="2"/>
        <v>0</v>
      </c>
      <c r="E126" s="15" t="s">
        <v>7</v>
      </c>
      <c r="F126" s="15" t="s">
        <v>96</v>
      </c>
      <c r="G126" s="15">
        <v>1</v>
      </c>
      <c r="H126" s="19" t="b">
        <v>0</v>
      </c>
    </row>
    <row r="127" spans="1:8" ht="15" hidden="1" x14ac:dyDescent="0.3">
      <c r="A127" s="18">
        <f>SUMIF(Recept!D:D,"="&amp;F127,Recept!F:F)</f>
        <v>0</v>
      </c>
      <c r="B127" s="19" t="b">
        <v>0</v>
      </c>
      <c r="C127" s="15"/>
      <c r="D127" s="15">
        <f t="shared" si="2"/>
        <v>0</v>
      </c>
      <c r="E127" s="15" t="s">
        <v>7</v>
      </c>
      <c r="F127" s="21" t="s">
        <v>246</v>
      </c>
      <c r="G127" s="15">
        <v>1</v>
      </c>
      <c r="H127" s="19" t="b">
        <v>0</v>
      </c>
    </row>
    <row r="128" spans="1:8" ht="15" hidden="1" x14ac:dyDescent="0.3">
      <c r="A128" s="18">
        <f>SUMIF(Recept!D:D,"="&amp;F128,Recept!F:F)</f>
        <v>0</v>
      </c>
      <c r="B128" s="19" t="b">
        <v>0</v>
      </c>
      <c r="C128" s="15"/>
      <c r="D128" s="15">
        <f t="shared" si="2"/>
        <v>0</v>
      </c>
      <c r="E128" s="15" t="s">
        <v>7</v>
      </c>
      <c r="F128" s="15" t="s">
        <v>97</v>
      </c>
      <c r="G128" s="15">
        <v>1</v>
      </c>
      <c r="H128" s="19" t="b">
        <v>0</v>
      </c>
    </row>
    <row r="129" spans="1:8" ht="15" hidden="1" x14ac:dyDescent="0.3">
      <c r="A129" s="18">
        <f>SUMIF(Recept!D:D,"="&amp;F129,Recept!F:F)</f>
        <v>0</v>
      </c>
      <c r="B129" s="19" t="b">
        <v>0</v>
      </c>
      <c r="C129" s="15"/>
      <c r="D129" s="15">
        <f t="shared" si="2"/>
        <v>0</v>
      </c>
      <c r="E129" s="15" t="s">
        <v>7</v>
      </c>
      <c r="F129" s="15" t="s">
        <v>98</v>
      </c>
      <c r="G129" s="15">
        <v>1</v>
      </c>
      <c r="H129" s="19" t="b">
        <v>0</v>
      </c>
    </row>
    <row r="130" spans="1:8" ht="15" hidden="1" x14ac:dyDescent="0.3">
      <c r="A130" s="18">
        <f>SUMIF(Recept!D:D,"="&amp;F130,Recept!F:F)</f>
        <v>0</v>
      </c>
      <c r="B130" s="19" t="b">
        <v>0</v>
      </c>
      <c r="C130" s="15"/>
      <c r="D130" s="15">
        <f t="shared" si="2"/>
        <v>0</v>
      </c>
      <c r="E130" s="15" t="s">
        <v>7</v>
      </c>
      <c r="F130" s="15" t="s">
        <v>99</v>
      </c>
      <c r="G130" s="15">
        <v>1</v>
      </c>
      <c r="H130" s="19" t="b">
        <v>0</v>
      </c>
    </row>
    <row r="131" spans="1:8" ht="15" hidden="1" x14ac:dyDescent="0.3">
      <c r="A131" s="18">
        <f>SUMIF(Recept!D:D,"="&amp;F131,Recept!F:F)</f>
        <v>0</v>
      </c>
      <c r="B131" s="19" t="b">
        <v>0</v>
      </c>
      <c r="C131" s="15"/>
      <c r="D131" s="15">
        <f t="shared" si="2"/>
        <v>0</v>
      </c>
      <c r="E131" s="15" t="s">
        <v>7</v>
      </c>
      <c r="F131" s="15" t="s">
        <v>100</v>
      </c>
      <c r="G131" s="15">
        <v>1</v>
      </c>
      <c r="H131" s="19" t="b">
        <v>0</v>
      </c>
    </row>
    <row r="132" spans="1:8" ht="15" hidden="1" x14ac:dyDescent="0.3">
      <c r="A132" s="18">
        <f>SUMIF(Recept!D:D,"="&amp;F132,Recept!F:F)</f>
        <v>0</v>
      </c>
      <c r="B132" s="19" t="b">
        <v>0</v>
      </c>
      <c r="C132" s="15"/>
      <c r="D132" s="15">
        <f t="shared" ref="D132:D195" si="3">IF((A132-C132+(G132*H132))&lt;=0,0,(A132-C132+(G132*H132)))</f>
        <v>0</v>
      </c>
      <c r="E132" s="15" t="s">
        <v>7</v>
      </c>
      <c r="F132" s="15" t="s">
        <v>101</v>
      </c>
      <c r="G132" s="15">
        <v>1</v>
      </c>
      <c r="H132" s="19" t="b">
        <v>0</v>
      </c>
    </row>
    <row r="133" spans="1:8" ht="15" hidden="1" x14ac:dyDescent="0.3">
      <c r="A133" s="18">
        <f>SUMIF(Recept!D:D,"="&amp;F133,Recept!F:F)</f>
        <v>0</v>
      </c>
      <c r="B133" s="19" t="b">
        <v>0</v>
      </c>
      <c r="C133" s="15"/>
      <c r="D133" s="15">
        <f t="shared" si="3"/>
        <v>0</v>
      </c>
      <c r="E133" s="15" t="s">
        <v>7</v>
      </c>
      <c r="F133" s="15" t="s">
        <v>102</v>
      </c>
      <c r="G133" s="15">
        <v>1</v>
      </c>
      <c r="H133" s="19" t="b">
        <v>0</v>
      </c>
    </row>
    <row r="134" spans="1:8" ht="15" x14ac:dyDescent="0.3">
      <c r="A134" s="18">
        <f>SUMIF(Recept!D:D,"="&amp;F134,Recept!F:F)</f>
        <v>140</v>
      </c>
      <c r="B134" s="19" t="b">
        <v>1</v>
      </c>
      <c r="C134" s="15"/>
      <c r="D134" s="15">
        <f t="shared" si="3"/>
        <v>140</v>
      </c>
      <c r="E134" s="15" t="s">
        <v>7</v>
      </c>
      <c r="F134" s="21" t="s">
        <v>104</v>
      </c>
      <c r="G134" s="15">
        <v>1</v>
      </c>
      <c r="H134" s="19" t="b">
        <v>0</v>
      </c>
    </row>
    <row r="135" spans="1:8" ht="15" hidden="1" x14ac:dyDescent="0.3">
      <c r="A135" s="18">
        <f>SUMIF(Recept!D:D,"="&amp;F135,Recept!F:F)</f>
        <v>0</v>
      </c>
      <c r="B135" s="19" t="b">
        <v>0</v>
      </c>
      <c r="C135" s="15"/>
      <c r="D135" s="15">
        <f t="shared" si="3"/>
        <v>0</v>
      </c>
      <c r="E135" s="15" t="s">
        <v>7</v>
      </c>
      <c r="F135" s="15" t="s">
        <v>105</v>
      </c>
      <c r="G135" s="15">
        <v>1</v>
      </c>
      <c r="H135" s="19" t="b">
        <v>0</v>
      </c>
    </row>
    <row r="136" spans="1:8" ht="15" hidden="1" x14ac:dyDescent="0.3">
      <c r="A136" s="18">
        <f>SUMIF(Recept!D:D,"="&amp;F136,Recept!F:F)</f>
        <v>0</v>
      </c>
      <c r="B136" s="19" t="b">
        <v>0</v>
      </c>
      <c r="C136" s="15"/>
      <c r="D136" s="15">
        <f t="shared" si="3"/>
        <v>0</v>
      </c>
      <c r="E136" s="15" t="s">
        <v>7</v>
      </c>
      <c r="F136" s="15" t="s">
        <v>106</v>
      </c>
      <c r="G136" s="15">
        <v>1</v>
      </c>
      <c r="H136" s="19" t="b">
        <v>0</v>
      </c>
    </row>
    <row r="137" spans="1:8" ht="15" hidden="1" x14ac:dyDescent="0.3">
      <c r="A137" s="18">
        <f>SUMIF(Recept!D:D,"="&amp;F137,Recept!F:F)</f>
        <v>0</v>
      </c>
      <c r="B137" s="19" t="b">
        <v>0</v>
      </c>
      <c r="C137" s="15"/>
      <c r="D137" s="15">
        <f t="shared" si="3"/>
        <v>0</v>
      </c>
      <c r="E137" s="15" t="s">
        <v>7</v>
      </c>
      <c r="F137" s="15" t="s">
        <v>107</v>
      </c>
      <c r="G137" s="15">
        <v>1</v>
      </c>
      <c r="H137" s="19" t="b">
        <v>0</v>
      </c>
    </row>
    <row r="138" spans="1:8" ht="15" hidden="1" x14ac:dyDescent="0.3">
      <c r="A138" s="18">
        <f>SUMIF(Recept!D:D,"="&amp;F138,Recept!F:F)</f>
        <v>0</v>
      </c>
      <c r="B138" s="19" t="b">
        <v>0</v>
      </c>
      <c r="C138" s="15"/>
      <c r="D138" s="15">
        <f t="shared" si="3"/>
        <v>0</v>
      </c>
      <c r="E138" s="15" t="s">
        <v>7</v>
      </c>
      <c r="F138" s="15" t="s">
        <v>109</v>
      </c>
      <c r="G138" s="15">
        <v>1</v>
      </c>
      <c r="H138" s="19" t="b">
        <v>0</v>
      </c>
    </row>
    <row r="139" spans="1:8" ht="15" hidden="1" x14ac:dyDescent="0.3">
      <c r="A139" s="18">
        <f>SUMIF(Recept!D:D,"="&amp;F139,Recept!F:F)</f>
        <v>0</v>
      </c>
      <c r="B139" s="19" t="b">
        <v>0</v>
      </c>
      <c r="C139" s="15"/>
      <c r="D139" s="15">
        <f t="shared" si="3"/>
        <v>0</v>
      </c>
      <c r="E139" s="15" t="s">
        <v>9</v>
      </c>
      <c r="F139" s="21" t="s">
        <v>110</v>
      </c>
      <c r="G139" s="15">
        <v>1</v>
      </c>
      <c r="H139" s="19" t="b">
        <v>0</v>
      </c>
    </row>
    <row r="140" spans="1:8" ht="15" hidden="1" x14ac:dyDescent="0.3">
      <c r="A140" s="18">
        <f>SUMIF(Recept!D:D,"="&amp;F140,Recept!F:F)</f>
        <v>0</v>
      </c>
      <c r="B140" s="19" t="b">
        <v>0</v>
      </c>
      <c r="C140" s="15"/>
      <c r="D140" s="15">
        <f t="shared" si="3"/>
        <v>0</v>
      </c>
      <c r="E140" s="15" t="s">
        <v>7</v>
      </c>
      <c r="F140" s="15" t="s">
        <v>253</v>
      </c>
      <c r="G140" s="15">
        <v>1</v>
      </c>
      <c r="H140" s="19" t="b">
        <v>0</v>
      </c>
    </row>
    <row r="141" spans="1:8" ht="15" hidden="1" x14ac:dyDescent="0.3">
      <c r="A141" s="18">
        <f>SUMIF(Recept!D:D,"="&amp;F141,Recept!F:F)</f>
        <v>0</v>
      </c>
      <c r="B141" s="19" t="b">
        <v>0</v>
      </c>
      <c r="C141" s="15"/>
      <c r="D141" s="15">
        <f t="shared" si="3"/>
        <v>0</v>
      </c>
      <c r="E141" s="15" t="s">
        <v>7</v>
      </c>
      <c r="F141" s="15" t="s">
        <v>249</v>
      </c>
      <c r="G141" s="15">
        <v>1</v>
      </c>
      <c r="H141" s="19" t="b">
        <v>0</v>
      </c>
    </row>
    <row r="142" spans="1:8" ht="31.5" x14ac:dyDescent="0.3">
      <c r="A142" s="18">
        <f>SUMIF(Recept!D:D,"="&amp;F142,Recept!F:F)</f>
        <v>0</v>
      </c>
      <c r="B142" s="19" t="b">
        <v>0</v>
      </c>
      <c r="D142" s="15"/>
      <c r="F142" s="1" t="s">
        <v>123</v>
      </c>
      <c r="H142" s="19" t="b">
        <v>0</v>
      </c>
    </row>
    <row r="143" spans="1:8" ht="15" hidden="1" x14ac:dyDescent="0.3">
      <c r="A143" s="18">
        <f>SUMIF(Recept!D:D,"="&amp;F143,Recept!F:F)</f>
        <v>0</v>
      </c>
      <c r="B143" s="19" t="b">
        <v>0</v>
      </c>
      <c r="C143" s="15"/>
      <c r="D143" s="15">
        <f t="shared" si="3"/>
        <v>0</v>
      </c>
      <c r="E143" s="15" t="s">
        <v>7</v>
      </c>
      <c r="F143" s="21" t="s">
        <v>124</v>
      </c>
      <c r="G143" s="15">
        <v>1</v>
      </c>
      <c r="H143" s="19" t="b">
        <v>0</v>
      </c>
    </row>
    <row r="144" spans="1:8" ht="15" hidden="1" x14ac:dyDescent="0.3">
      <c r="A144" s="18">
        <f>SUMIF(Recept!D:D,"="&amp;F144,Recept!F:F)</f>
        <v>0</v>
      </c>
      <c r="B144" s="19" t="b">
        <v>0</v>
      </c>
      <c r="C144" s="15"/>
      <c r="D144" s="15">
        <f t="shared" si="3"/>
        <v>0</v>
      </c>
      <c r="E144" s="15" t="s">
        <v>7</v>
      </c>
      <c r="F144" s="21" t="s">
        <v>125</v>
      </c>
      <c r="G144" s="15">
        <v>1</v>
      </c>
      <c r="H144" s="19" t="b">
        <v>0</v>
      </c>
    </row>
    <row r="145" spans="1:8" ht="15" hidden="1" x14ac:dyDescent="0.3">
      <c r="A145" s="18">
        <f>SUMIF(Recept!D:D,"="&amp;F145,Recept!F:F)</f>
        <v>0</v>
      </c>
      <c r="B145" s="19" t="b">
        <v>0</v>
      </c>
      <c r="C145" s="15"/>
      <c r="D145" s="15">
        <f t="shared" si="3"/>
        <v>0</v>
      </c>
      <c r="E145" s="15" t="s">
        <v>7</v>
      </c>
      <c r="F145" s="21" t="s">
        <v>126</v>
      </c>
      <c r="G145" s="15">
        <v>1</v>
      </c>
      <c r="H145" s="19" t="b">
        <v>0</v>
      </c>
    </row>
    <row r="146" spans="1:8" ht="19.5" hidden="1" customHeight="1" x14ac:dyDescent="0.3">
      <c r="A146" s="18">
        <f>SUMIF(Recept!D:D,"="&amp;F146,Recept!F:F)</f>
        <v>0</v>
      </c>
      <c r="B146" s="19" t="b">
        <v>0</v>
      </c>
      <c r="C146" s="15"/>
      <c r="D146" s="15">
        <f t="shared" si="3"/>
        <v>0</v>
      </c>
      <c r="E146" s="15" t="s">
        <v>7</v>
      </c>
      <c r="F146" s="21" t="s">
        <v>127</v>
      </c>
      <c r="G146" s="15">
        <v>1</v>
      </c>
      <c r="H146" s="19" t="b">
        <v>0</v>
      </c>
    </row>
    <row r="147" spans="1:8" ht="19.5" hidden="1" customHeight="1" x14ac:dyDescent="0.3">
      <c r="A147" s="18">
        <f>SUMIF(Recept!D:D,"="&amp;F147,Recept!F:F)</f>
        <v>0</v>
      </c>
      <c r="B147" s="19" t="b">
        <v>0</v>
      </c>
      <c r="C147" s="15"/>
      <c r="D147" s="15">
        <f t="shared" si="3"/>
        <v>0</v>
      </c>
      <c r="E147" s="15" t="s">
        <v>7</v>
      </c>
      <c r="F147" s="21" t="s">
        <v>128</v>
      </c>
      <c r="G147" s="15">
        <v>1</v>
      </c>
      <c r="H147" s="19" t="b">
        <v>0</v>
      </c>
    </row>
    <row r="148" spans="1:8" ht="19.5" hidden="1" customHeight="1" x14ac:dyDescent="0.3">
      <c r="A148" s="18">
        <f>SUMIF(Recept!D:D,"="&amp;F148,Recept!F:F)</f>
        <v>0</v>
      </c>
      <c r="B148" s="19" t="b">
        <v>0</v>
      </c>
      <c r="C148" s="15"/>
      <c r="D148" s="15">
        <f t="shared" si="3"/>
        <v>0</v>
      </c>
      <c r="E148" s="15" t="s">
        <v>7</v>
      </c>
      <c r="F148" s="21" t="s">
        <v>129</v>
      </c>
      <c r="G148" s="15">
        <v>1</v>
      </c>
      <c r="H148" s="19" t="b">
        <v>0</v>
      </c>
    </row>
    <row r="149" spans="1:8" ht="31.5" x14ac:dyDescent="0.3">
      <c r="A149" s="18">
        <f>SUMIF(Recept!D:D,"="&amp;F149,Recept!F:F)</f>
        <v>0</v>
      </c>
      <c r="B149" s="19" t="b">
        <v>0</v>
      </c>
      <c r="D149" s="15"/>
      <c r="F149" s="1" t="s">
        <v>130</v>
      </c>
      <c r="H149" s="19" t="b">
        <v>0</v>
      </c>
    </row>
    <row r="150" spans="1:8" ht="15" hidden="1" x14ac:dyDescent="0.3">
      <c r="A150" s="18">
        <f>SUMIF(Recept!D:D,"="&amp;F150,Recept!F:F)</f>
        <v>0</v>
      </c>
      <c r="B150" s="19" t="b">
        <v>0</v>
      </c>
      <c r="C150" s="15"/>
      <c r="D150" s="15">
        <f t="shared" si="3"/>
        <v>0</v>
      </c>
      <c r="E150" s="15" t="s">
        <v>7</v>
      </c>
      <c r="F150" s="15" t="s">
        <v>131</v>
      </c>
      <c r="G150" s="15">
        <v>1</v>
      </c>
      <c r="H150" s="19" t="b">
        <v>0</v>
      </c>
    </row>
    <row r="151" spans="1:8" ht="15" hidden="1" x14ac:dyDescent="0.3">
      <c r="A151" s="18">
        <f>SUMIF(Recept!D:D,"="&amp;F151,Recept!F:F)</f>
        <v>0</v>
      </c>
      <c r="B151" s="19" t="b">
        <v>0</v>
      </c>
      <c r="C151" s="15"/>
      <c r="D151" s="15">
        <f t="shared" si="3"/>
        <v>0</v>
      </c>
      <c r="E151" s="15" t="s">
        <v>7</v>
      </c>
      <c r="F151" s="15" t="s">
        <v>132</v>
      </c>
      <c r="G151" s="15">
        <v>1</v>
      </c>
      <c r="H151" s="19" t="b">
        <v>0</v>
      </c>
    </row>
    <row r="152" spans="1:8" ht="15" hidden="1" x14ac:dyDescent="0.3">
      <c r="A152" s="18">
        <f>SUMIF(Recept!D:D,"="&amp;F152,Recept!F:F)</f>
        <v>0</v>
      </c>
      <c r="B152" s="19" t="b">
        <v>0</v>
      </c>
      <c r="C152" s="15"/>
      <c r="D152" s="15">
        <f t="shared" si="3"/>
        <v>0</v>
      </c>
      <c r="E152" s="15" t="s">
        <v>7</v>
      </c>
      <c r="F152" s="15" t="s">
        <v>133</v>
      </c>
      <c r="G152" s="15">
        <v>1</v>
      </c>
      <c r="H152" s="19" t="b">
        <v>0</v>
      </c>
    </row>
    <row r="153" spans="1:8" ht="15" hidden="1" x14ac:dyDescent="0.3">
      <c r="A153" s="18">
        <f>SUMIF(Recept!D:D,"="&amp;F153,Recept!F:F)</f>
        <v>0</v>
      </c>
      <c r="B153" s="19" t="b">
        <v>0</v>
      </c>
      <c r="C153" s="15"/>
      <c r="D153" s="15">
        <f t="shared" si="3"/>
        <v>0</v>
      </c>
      <c r="E153" s="15" t="s">
        <v>7</v>
      </c>
      <c r="F153" s="15" t="s">
        <v>134</v>
      </c>
      <c r="G153" s="15">
        <v>1</v>
      </c>
      <c r="H153" s="19" t="b">
        <v>0</v>
      </c>
    </row>
    <row r="154" spans="1:8" ht="15" hidden="1" x14ac:dyDescent="0.3">
      <c r="A154" s="18">
        <f>SUMIF(Recept!D:D,"="&amp;F154,Recept!F:F)</f>
        <v>0</v>
      </c>
      <c r="B154" s="19" t="b">
        <v>0</v>
      </c>
      <c r="C154" s="15"/>
      <c r="D154" s="15">
        <f t="shared" si="3"/>
        <v>0</v>
      </c>
      <c r="E154" s="15" t="s">
        <v>7</v>
      </c>
      <c r="F154" s="15" t="s">
        <v>135</v>
      </c>
      <c r="G154" s="15">
        <v>1</v>
      </c>
      <c r="H154" s="19" t="b">
        <v>0</v>
      </c>
    </row>
    <row r="155" spans="1:8" ht="15" hidden="1" x14ac:dyDescent="0.3">
      <c r="A155" s="18">
        <f>SUMIF(Recept!D:D,"="&amp;F155,Recept!F:F)</f>
        <v>0</v>
      </c>
      <c r="B155" s="19" t="b">
        <v>0</v>
      </c>
      <c r="C155" s="15"/>
      <c r="D155" s="15">
        <f t="shared" si="3"/>
        <v>0</v>
      </c>
      <c r="E155" s="15" t="s">
        <v>7</v>
      </c>
      <c r="F155" s="15" t="s">
        <v>136</v>
      </c>
      <c r="G155" s="15">
        <v>1</v>
      </c>
      <c r="H155" s="19" t="b">
        <v>0</v>
      </c>
    </row>
    <row r="156" spans="1:8" ht="15" hidden="1" x14ac:dyDescent="0.3">
      <c r="A156" s="18">
        <f>SUMIF(Recept!D:D,"="&amp;F156,Recept!F:F)</f>
        <v>0</v>
      </c>
      <c r="B156" s="19" t="b">
        <v>0</v>
      </c>
      <c r="C156" s="15"/>
      <c r="D156" s="15">
        <f t="shared" si="3"/>
        <v>0</v>
      </c>
      <c r="E156" s="15" t="s">
        <v>7</v>
      </c>
      <c r="F156" s="15" t="s">
        <v>137</v>
      </c>
      <c r="G156" s="15">
        <v>1</v>
      </c>
      <c r="H156" s="19" t="b">
        <v>0</v>
      </c>
    </row>
    <row r="157" spans="1:8" ht="15" hidden="1" x14ac:dyDescent="0.3">
      <c r="A157" s="18">
        <f>SUMIF(Recept!D:D,"="&amp;F157,Recept!F:F)</f>
        <v>0</v>
      </c>
      <c r="B157" s="19" t="b">
        <v>0</v>
      </c>
      <c r="C157" s="15"/>
      <c r="D157" s="15">
        <f t="shared" si="3"/>
        <v>0</v>
      </c>
      <c r="E157" s="15" t="s">
        <v>7</v>
      </c>
      <c r="F157" s="15" t="s">
        <v>138</v>
      </c>
      <c r="G157" s="15">
        <v>1</v>
      </c>
      <c r="H157" s="19" t="b">
        <v>0</v>
      </c>
    </row>
    <row r="158" spans="1:8" ht="15" hidden="1" x14ac:dyDescent="0.3">
      <c r="A158" s="18">
        <f>SUMIF(Recept!D:D,"="&amp;F158,Recept!F:F)</f>
        <v>0</v>
      </c>
      <c r="B158" s="19" t="b">
        <v>0</v>
      </c>
      <c r="C158" s="15"/>
      <c r="D158" s="15">
        <f t="shared" si="3"/>
        <v>0</v>
      </c>
      <c r="E158" s="15" t="s">
        <v>7</v>
      </c>
      <c r="F158" s="15" t="s">
        <v>139</v>
      </c>
      <c r="G158" s="15">
        <v>1</v>
      </c>
      <c r="H158" s="19" t="b">
        <v>0</v>
      </c>
    </row>
    <row r="159" spans="1:8" ht="15" hidden="1" x14ac:dyDescent="0.3">
      <c r="A159" s="18">
        <f>SUMIF(Recept!D:D,"="&amp;F159,Recept!F:F)</f>
        <v>0</v>
      </c>
      <c r="B159" s="19" t="b">
        <v>0</v>
      </c>
      <c r="C159" s="15"/>
      <c r="D159" s="15">
        <f t="shared" si="3"/>
        <v>0</v>
      </c>
      <c r="E159" s="15" t="s">
        <v>7</v>
      </c>
      <c r="F159" s="15" t="s">
        <v>140</v>
      </c>
      <c r="G159" s="15">
        <v>1</v>
      </c>
      <c r="H159" s="19" t="b">
        <v>0</v>
      </c>
    </row>
    <row r="160" spans="1:8" ht="15" hidden="1" x14ac:dyDescent="0.3">
      <c r="A160" s="18">
        <f>SUMIF(Recept!D:D,"="&amp;F160,Recept!F:F)</f>
        <v>0</v>
      </c>
      <c r="B160" s="19" t="b">
        <v>0</v>
      </c>
      <c r="C160" s="15"/>
      <c r="D160" s="15">
        <f t="shared" si="3"/>
        <v>0</v>
      </c>
      <c r="E160" s="15" t="s">
        <v>7</v>
      </c>
      <c r="F160" s="15" t="s">
        <v>141</v>
      </c>
      <c r="G160" s="15">
        <v>1</v>
      </c>
      <c r="H160" s="19" t="b">
        <v>0</v>
      </c>
    </row>
    <row r="161" spans="1:8" ht="15" x14ac:dyDescent="0.3">
      <c r="A161" s="18"/>
      <c r="B161" s="19" t="b">
        <v>0</v>
      </c>
      <c r="C161" s="15"/>
      <c r="D161" s="15"/>
      <c r="E161" s="15"/>
      <c r="F161" s="15"/>
      <c r="G161" s="15"/>
      <c r="H161" s="19" t="b">
        <v>0</v>
      </c>
    </row>
    <row r="162" spans="1:8" ht="15" hidden="1" x14ac:dyDescent="0.3">
      <c r="A162" s="18">
        <f>SUMIF(Recept!D:D,"="&amp;F162,Recept!F:F)</f>
        <v>0</v>
      </c>
      <c r="B162" s="19" t="b">
        <v>0</v>
      </c>
      <c r="C162" s="15"/>
      <c r="D162" s="15">
        <f t="shared" si="3"/>
        <v>0</v>
      </c>
      <c r="E162" s="15" t="s">
        <v>7</v>
      </c>
      <c r="F162" s="15" t="s">
        <v>142</v>
      </c>
      <c r="G162" s="15">
        <v>1</v>
      </c>
      <c r="H162" s="19" t="b">
        <v>0</v>
      </c>
    </row>
    <row r="163" spans="1:8" ht="15" hidden="1" x14ac:dyDescent="0.3">
      <c r="A163" s="18">
        <f>SUMIF(Recept!D:D,"="&amp;F163,Recept!F:F)</f>
        <v>0</v>
      </c>
      <c r="B163" s="19" t="b">
        <v>0</v>
      </c>
      <c r="C163" s="15"/>
      <c r="D163" s="15">
        <f t="shared" si="3"/>
        <v>0</v>
      </c>
      <c r="E163" s="15" t="s">
        <v>7</v>
      </c>
      <c r="F163" s="15" t="s">
        <v>143</v>
      </c>
      <c r="G163" s="15">
        <v>1</v>
      </c>
      <c r="H163" s="19" t="b">
        <v>0</v>
      </c>
    </row>
    <row r="164" spans="1:8" ht="15" hidden="1" x14ac:dyDescent="0.3">
      <c r="A164" s="18">
        <f>SUMIF(Recept!D:D,"="&amp;F164,Recept!F:F)</f>
        <v>0</v>
      </c>
      <c r="B164" s="19" t="b">
        <v>0</v>
      </c>
      <c r="C164" s="15"/>
      <c r="D164" s="15">
        <f t="shared" si="3"/>
        <v>0</v>
      </c>
      <c r="E164" s="15" t="s">
        <v>7</v>
      </c>
      <c r="F164" s="15" t="s">
        <v>144</v>
      </c>
      <c r="G164" s="15">
        <v>1</v>
      </c>
      <c r="H164" s="19" t="b">
        <v>0</v>
      </c>
    </row>
    <row r="165" spans="1:8" ht="15" hidden="1" x14ac:dyDescent="0.3">
      <c r="A165" s="18">
        <f>SUMIF(Recept!D:D,"="&amp;F165,Recept!F:F)</f>
        <v>0</v>
      </c>
      <c r="B165" s="19" t="b">
        <v>0</v>
      </c>
      <c r="C165" s="15"/>
      <c r="D165" s="15">
        <f t="shared" si="3"/>
        <v>0</v>
      </c>
      <c r="E165" s="15" t="s">
        <v>7</v>
      </c>
      <c r="F165" s="15" t="s">
        <v>145</v>
      </c>
      <c r="G165" s="15">
        <v>1</v>
      </c>
      <c r="H165" s="19" t="b">
        <v>0</v>
      </c>
    </row>
    <row r="166" spans="1:8" ht="15" hidden="1" x14ac:dyDescent="0.3">
      <c r="A166" s="18">
        <f>SUMIF(Recept!D:D,"="&amp;F166,Recept!F:F)</f>
        <v>0</v>
      </c>
      <c r="B166" s="19" t="b">
        <v>0</v>
      </c>
      <c r="C166" s="15"/>
      <c r="D166" s="15">
        <f t="shared" si="3"/>
        <v>0</v>
      </c>
      <c r="E166" s="15" t="s">
        <v>7</v>
      </c>
      <c r="F166" s="15" t="s">
        <v>146</v>
      </c>
      <c r="G166" s="15">
        <v>1</v>
      </c>
      <c r="H166" s="19" t="b">
        <v>0</v>
      </c>
    </row>
    <row r="167" spans="1:8" ht="15" hidden="1" x14ac:dyDescent="0.3">
      <c r="A167" s="18">
        <f>SUMIF(Recept!D:D,"="&amp;F167,Recept!F:F)</f>
        <v>0</v>
      </c>
      <c r="B167" s="19" t="b">
        <v>0</v>
      </c>
      <c r="C167" s="15"/>
      <c r="D167" s="15">
        <f t="shared" si="3"/>
        <v>0</v>
      </c>
      <c r="E167" s="15" t="s">
        <v>7</v>
      </c>
      <c r="F167" s="15" t="s">
        <v>147</v>
      </c>
      <c r="G167" s="15">
        <v>1</v>
      </c>
      <c r="H167" s="19" t="b">
        <v>0</v>
      </c>
    </row>
    <row r="168" spans="1:8" ht="15" hidden="1" x14ac:dyDescent="0.3">
      <c r="A168" s="18">
        <f>SUMIF(Recept!D:D,"="&amp;F168,Recept!F:F)</f>
        <v>0</v>
      </c>
      <c r="B168" s="19" t="b">
        <v>0</v>
      </c>
      <c r="C168" s="15"/>
      <c r="D168" s="15">
        <f t="shared" si="3"/>
        <v>0</v>
      </c>
      <c r="E168" s="15" t="s">
        <v>7</v>
      </c>
      <c r="F168" s="15" t="s">
        <v>148</v>
      </c>
      <c r="G168" s="15">
        <v>1</v>
      </c>
      <c r="H168" s="19" t="b">
        <v>0</v>
      </c>
    </row>
    <row r="169" spans="1:8" ht="15" hidden="1" x14ac:dyDescent="0.3">
      <c r="A169" s="18">
        <f>SUMIF(Recept!D:D,"="&amp;F169,Recept!F:F)</f>
        <v>0</v>
      </c>
      <c r="B169" s="19" t="b">
        <v>0</v>
      </c>
      <c r="C169" s="15"/>
      <c r="D169" s="15">
        <f t="shared" si="3"/>
        <v>0</v>
      </c>
      <c r="E169" s="15" t="s">
        <v>7</v>
      </c>
      <c r="F169" s="15" t="s">
        <v>149</v>
      </c>
      <c r="G169" s="15">
        <v>1</v>
      </c>
      <c r="H169" s="19" t="b">
        <v>0</v>
      </c>
    </row>
    <row r="170" spans="1:8" ht="15" hidden="1" x14ac:dyDescent="0.3">
      <c r="A170" s="18">
        <f>SUMIF(Recept!D:D,"="&amp;F170,Recept!F:F)</f>
        <v>0</v>
      </c>
      <c r="B170" s="19" t="b">
        <v>0</v>
      </c>
      <c r="C170" s="15"/>
      <c r="D170" s="15">
        <f t="shared" si="3"/>
        <v>0</v>
      </c>
      <c r="E170" s="15" t="s">
        <v>7</v>
      </c>
      <c r="F170" s="15" t="s">
        <v>150</v>
      </c>
      <c r="G170" s="15">
        <v>1</v>
      </c>
      <c r="H170" s="19" t="b">
        <v>0</v>
      </c>
    </row>
    <row r="171" spans="1:8" ht="15" hidden="1" x14ac:dyDescent="0.3">
      <c r="A171" s="18">
        <f>SUMIF(Recept!D:D,"="&amp;F171,Recept!F:F)</f>
        <v>0</v>
      </c>
      <c r="B171" s="19" t="b">
        <v>0</v>
      </c>
      <c r="C171" s="15"/>
      <c r="D171" s="15">
        <f t="shared" si="3"/>
        <v>0</v>
      </c>
      <c r="E171" s="15" t="s">
        <v>7</v>
      </c>
      <c r="F171" s="15" t="s">
        <v>151</v>
      </c>
      <c r="G171" s="15">
        <v>1</v>
      </c>
      <c r="H171" s="19" t="b">
        <v>0</v>
      </c>
    </row>
    <row r="172" spans="1:8" ht="15" hidden="1" x14ac:dyDescent="0.3">
      <c r="A172" s="18">
        <f>SUMIF(Recept!D:D,"="&amp;F172,Recept!F:F)</f>
        <v>0</v>
      </c>
      <c r="B172" s="19" t="b">
        <v>0</v>
      </c>
      <c r="C172" s="15"/>
      <c r="D172" s="15">
        <f t="shared" si="3"/>
        <v>0</v>
      </c>
      <c r="E172" s="15" t="s">
        <v>7</v>
      </c>
      <c r="F172" s="15" t="s">
        <v>152</v>
      </c>
      <c r="G172" s="15">
        <v>1</v>
      </c>
      <c r="H172" s="19" t="b">
        <v>0</v>
      </c>
    </row>
    <row r="173" spans="1:8" ht="15" hidden="1" x14ac:dyDescent="0.3">
      <c r="A173" s="18">
        <f>SUMIF(Recept!D:D,"="&amp;F173,Recept!F:F)</f>
        <v>0</v>
      </c>
      <c r="B173" s="19" t="b">
        <v>0</v>
      </c>
      <c r="C173" s="15"/>
      <c r="D173" s="15">
        <f t="shared" si="3"/>
        <v>0</v>
      </c>
      <c r="E173" s="15" t="s">
        <v>7</v>
      </c>
      <c r="F173" s="15" t="s">
        <v>153</v>
      </c>
      <c r="G173" s="15">
        <v>1</v>
      </c>
      <c r="H173" s="19" t="b">
        <v>0</v>
      </c>
    </row>
    <row r="174" spans="1:8" ht="15" hidden="1" x14ac:dyDescent="0.3">
      <c r="A174" s="18">
        <f>SUMIF(Recept!D:D,"="&amp;F174,Recept!F:F)</f>
        <v>0</v>
      </c>
      <c r="B174" s="19" t="b">
        <v>0</v>
      </c>
      <c r="C174" s="15"/>
      <c r="D174" s="15">
        <f t="shared" si="3"/>
        <v>0</v>
      </c>
      <c r="E174" s="15" t="s">
        <v>7</v>
      </c>
      <c r="F174" s="15" t="s">
        <v>154</v>
      </c>
      <c r="G174" s="15">
        <v>1</v>
      </c>
      <c r="H174" s="19" t="b">
        <v>0</v>
      </c>
    </row>
    <row r="175" spans="1:8" ht="31.5" x14ac:dyDescent="0.6">
      <c r="A175" s="18">
        <f>SUMIF(Recept!D:D,"="&amp;F175,Recept!F:F)</f>
        <v>0</v>
      </c>
      <c r="B175" s="19" t="b">
        <v>0</v>
      </c>
      <c r="D175" s="15"/>
      <c r="F175" s="9" t="s">
        <v>155</v>
      </c>
      <c r="H175" s="19" t="b">
        <v>0</v>
      </c>
    </row>
    <row r="176" spans="1:8" ht="15" hidden="1" x14ac:dyDescent="0.3">
      <c r="A176" s="18">
        <f>SUMIF(Recept!D:D,"="&amp;F176,Recept!F:F)</f>
        <v>0</v>
      </c>
      <c r="B176" s="19" t="b">
        <v>0</v>
      </c>
      <c r="C176" s="15"/>
      <c r="D176" s="15">
        <f t="shared" si="3"/>
        <v>0</v>
      </c>
      <c r="E176" s="15" t="s">
        <v>7</v>
      </c>
      <c r="F176" s="15" t="s">
        <v>156</v>
      </c>
      <c r="G176" s="15">
        <v>1</v>
      </c>
      <c r="H176" s="19" t="b">
        <v>0</v>
      </c>
    </row>
    <row r="177" spans="1:8" ht="15" hidden="1" x14ac:dyDescent="0.3">
      <c r="A177" s="18">
        <f>SUMIF(Recept!D:D,"="&amp;F177,Recept!F:F)</f>
        <v>0</v>
      </c>
      <c r="B177" s="19" t="b">
        <v>0</v>
      </c>
      <c r="C177" s="15"/>
      <c r="D177" s="15">
        <f t="shared" si="3"/>
        <v>0</v>
      </c>
      <c r="E177" s="15" t="s">
        <v>7</v>
      </c>
      <c r="F177" s="15" t="s">
        <v>157</v>
      </c>
      <c r="G177" s="15">
        <v>1</v>
      </c>
      <c r="H177" s="19" t="b">
        <v>0</v>
      </c>
    </row>
    <row r="178" spans="1:8" ht="31.5" x14ac:dyDescent="0.6">
      <c r="A178" s="18">
        <f>SUMIF(Recept!D:D,"="&amp;F178,Recept!F:F)</f>
        <v>0</v>
      </c>
      <c r="B178" s="19" t="b">
        <v>0</v>
      </c>
      <c r="D178" s="15"/>
      <c r="F178" s="9" t="s">
        <v>158</v>
      </c>
      <c r="H178" s="19" t="b">
        <v>0</v>
      </c>
    </row>
    <row r="179" spans="1:8" ht="15" hidden="1" x14ac:dyDescent="0.3">
      <c r="A179" s="18">
        <f>SUMIF(Recept!D:D,"="&amp;F179,Recept!F:F)</f>
        <v>0</v>
      </c>
      <c r="B179" s="19" t="b">
        <v>0</v>
      </c>
      <c r="C179" s="15"/>
      <c r="D179" s="15">
        <f t="shared" si="3"/>
        <v>0</v>
      </c>
      <c r="E179" s="15" t="s">
        <v>7</v>
      </c>
      <c r="F179" s="15" t="s">
        <v>159</v>
      </c>
      <c r="G179" s="15">
        <v>1</v>
      </c>
      <c r="H179" s="19" t="b">
        <v>0</v>
      </c>
    </row>
    <row r="180" spans="1:8" ht="15" hidden="1" x14ac:dyDescent="0.3">
      <c r="A180" s="18">
        <f>SUMIF(Recept!D:D,"="&amp;F180,Recept!F:F)</f>
        <v>0</v>
      </c>
      <c r="B180" s="19" t="b">
        <v>0</v>
      </c>
      <c r="C180" s="15"/>
      <c r="D180" s="15">
        <f t="shared" si="3"/>
        <v>0</v>
      </c>
      <c r="E180" s="15" t="s">
        <v>7</v>
      </c>
      <c r="F180" s="15" t="s">
        <v>160</v>
      </c>
      <c r="G180" s="15">
        <v>1</v>
      </c>
      <c r="H180" s="19" t="b">
        <v>0</v>
      </c>
    </row>
    <row r="181" spans="1:8" ht="15" hidden="1" x14ac:dyDescent="0.3">
      <c r="A181" s="18">
        <f>SUMIF(Recept!D:D,"="&amp;F181,Recept!F:F)</f>
        <v>0</v>
      </c>
      <c r="B181" s="19" t="b">
        <v>0</v>
      </c>
      <c r="C181" s="15"/>
      <c r="D181" s="15">
        <f t="shared" si="3"/>
        <v>0</v>
      </c>
      <c r="E181" s="15" t="s">
        <v>7</v>
      </c>
      <c r="F181" s="15" t="s">
        <v>161</v>
      </c>
      <c r="G181" s="15">
        <v>1</v>
      </c>
      <c r="H181" s="19" t="b">
        <v>0</v>
      </c>
    </row>
    <row r="182" spans="1:8" ht="15" hidden="1" x14ac:dyDescent="0.3">
      <c r="A182" s="18">
        <f>SUMIF(Recept!D:D,"="&amp;F182,Recept!F:F)</f>
        <v>0</v>
      </c>
      <c r="B182" s="19" t="b">
        <v>0</v>
      </c>
      <c r="C182" s="15"/>
      <c r="D182" s="15">
        <f t="shared" si="3"/>
        <v>0</v>
      </c>
      <c r="E182" s="15" t="s">
        <v>7</v>
      </c>
      <c r="F182" s="15" t="s">
        <v>162</v>
      </c>
      <c r="G182" s="15">
        <v>1</v>
      </c>
      <c r="H182" s="19" t="b">
        <v>0</v>
      </c>
    </row>
    <row r="183" spans="1:8" ht="15" hidden="1" x14ac:dyDescent="0.3">
      <c r="A183" s="18">
        <f>SUMIF(Recept!D:D,"="&amp;F183,Recept!F:F)</f>
        <v>0</v>
      </c>
      <c r="B183" s="19" t="b">
        <v>0</v>
      </c>
      <c r="C183" s="15"/>
      <c r="D183" s="15">
        <f t="shared" si="3"/>
        <v>0</v>
      </c>
      <c r="E183" s="15" t="s">
        <v>7</v>
      </c>
      <c r="F183" s="15" t="s">
        <v>163</v>
      </c>
      <c r="G183" s="15">
        <v>1</v>
      </c>
      <c r="H183" s="19" t="b">
        <v>0</v>
      </c>
    </row>
    <row r="184" spans="1:8" ht="15" hidden="1" x14ac:dyDescent="0.3">
      <c r="A184" s="18">
        <f>SUMIF(Recept!D:D,"="&amp;F184,Recept!F:F)</f>
        <v>0</v>
      </c>
      <c r="B184" s="19" t="b">
        <v>0</v>
      </c>
      <c r="C184" s="15"/>
      <c r="D184" s="15">
        <f t="shared" si="3"/>
        <v>0</v>
      </c>
      <c r="E184" s="15" t="s">
        <v>7</v>
      </c>
      <c r="F184" s="15" t="s">
        <v>164</v>
      </c>
      <c r="G184" s="15">
        <v>1</v>
      </c>
      <c r="H184" s="19" t="b">
        <v>0</v>
      </c>
    </row>
    <row r="185" spans="1:8" ht="15" hidden="1" x14ac:dyDescent="0.3">
      <c r="A185" s="18">
        <f>SUMIF(Recept!D:D,"="&amp;F185,Recept!F:F)</f>
        <v>0</v>
      </c>
      <c r="B185" s="19" t="b">
        <v>0</v>
      </c>
      <c r="C185" s="15"/>
      <c r="D185" s="15">
        <f t="shared" si="3"/>
        <v>0</v>
      </c>
      <c r="E185" s="15" t="s">
        <v>7</v>
      </c>
      <c r="F185" s="15" t="s">
        <v>165</v>
      </c>
      <c r="G185" s="15">
        <v>1</v>
      </c>
      <c r="H185" s="19" t="b">
        <v>0</v>
      </c>
    </row>
    <row r="186" spans="1:8" ht="15" hidden="1" x14ac:dyDescent="0.3">
      <c r="A186" s="18">
        <f>SUMIF(Recept!D:D,"="&amp;F186,Recept!F:F)</f>
        <v>0</v>
      </c>
      <c r="B186" s="19" t="b">
        <v>0</v>
      </c>
      <c r="C186" s="15"/>
      <c r="D186" s="15">
        <f t="shared" si="3"/>
        <v>0</v>
      </c>
      <c r="E186" s="15" t="s">
        <v>7</v>
      </c>
      <c r="F186" s="15" t="s">
        <v>166</v>
      </c>
      <c r="G186" s="15">
        <v>1</v>
      </c>
      <c r="H186" s="19" t="b">
        <v>0</v>
      </c>
    </row>
    <row r="187" spans="1:8" ht="31.5" x14ac:dyDescent="0.6">
      <c r="A187" s="18">
        <f>SUMIF(Recept!D:D,"="&amp;F187,Recept!F:F)</f>
        <v>0</v>
      </c>
      <c r="B187" s="19" t="b">
        <v>0</v>
      </c>
      <c r="D187" s="15"/>
      <c r="F187" s="9" t="s">
        <v>260</v>
      </c>
      <c r="H187" s="19" t="b">
        <v>0</v>
      </c>
    </row>
    <row r="188" spans="1:8" ht="15" hidden="1" x14ac:dyDescent="0.3">
      <c r="A188" s="18">
        <f>SUMIF(Recept!D:D,"="&amp;F188,Recept!F:F)</f>
        <v>0</v>
      </c>
      <c r="B188" s="19" t="b">
        <v>0</v>
      </c>
      <c r="C188" s="15"/>
      <c r="D188" s="15">
        <f t="shared" si="3"/>
        <v>0</v>
      </c>
      <c r="E188" s="15" t="s">
        <v>7</v>
      </c>
      <c r="F188" s="15" t="s">
        <v>167</v>
      </c>
      <c r="G188" s="15">
        <v>1</v>
      </c>
      <c r="H188" s="19" t="b">
        <v>0</v>
      </c>
    </row>
    <row r="189" spans="1:8" ht="15" hidden="1" x14ac:dyDescent="0.3">
      <c r="A189" s="18">
        <f>SUMIF(Recept!D:D,"="&amp;F189,Recept!F:F)</f>
        <v>0</v>
      </c>
      <c r="B189" s="19" t="b">
        <v>0</v>
      </c>
      <c r="C189" s="15"/>
      <c r="D189" s="15">
        <f t="shared" si="3"/>
        <v>0</v>
      </c>
      <c r="E189" s="15" t="s">
        <v>7</v>
      </c>
      <c r="F189" s="15" t="s">
        <v>168</v>
      </c>
      <c r="G189" s="15">
        <v>1</v>
      </c>
      <c r="H189" s="19" t="b">
        <v>0</v>
      </c>
    </row>
    <row r="190" spans="1:8" ht="15" hidden="1" x14ac:dyDescent="0.3">
      <c r="A190" s="18">
        <f>SUMIF(Recept!D:D,"="&amp;F190,Recept!F:F)</f>
        <v>0</v>
      </c>
      <c r="B190" s="19" t="b">
        <v>0</v>
      </c>
      <c r="C190" s="15"/>
      <c r="D190" s="15">
        <f t="shared" si="3"/>
        <v>0</v>
      </c>
      <c r="E190" s="15" t="s">
        <v>7</v>
      </c>
      <c r="F190" s="15" t="s">
        <v>169</v>
      </c>
      <c r="G190" s="15">
        <v>1</v>
      </c>
      <c r="H190" s="19" t="b">
        <v>0</v>
      </c>
    </row>
    <row r="191" spans="1:8" ht="15" hidden="1" x14ac:dyDescent="0.3">
      <c r="A191" s="18">
        <f>SUMIF(Recept!D:D,"="&amp;F191,Recept!F:F)</f>
        <v>0</v>
      </c>
      <c r="B191" s="19" t="b">
        <v>0</v>
      </c>
      <c r="C191" s="15"/>
      <c r="D191" s="15">
        <f t="shared" si="3"/>
        <v>0</v>
      </c>
      <c r="E191" s="15" t="s">
        <v>7</v>
      </c>
      <c r="F191" s="15" t="s">
        <v>170</v>
      </c>
      <c r="G191" s="15">
        <v>1</v>
      </c>
      <c r="H191" s="19" t="b">
        <v>0</v>
      </c>
    </row>
    <row r="192" spans="1:8" ht="15" hidden="1" x14ac:dyDescent="0.3">
      <c r="A192" s="18">
        <f>SUMIF(Recept!D:D,"="&amp;F192,Recept!F:F)</f>
        <v>0</v>
      </c>
      <c r="B192" s="19" t="b">
        <v>0</v>
      </c>
      <c r="C192" s="15"/>
      <c r="D192" s="15">
        <f t="shared" si="3"/>
        <v>0</v>
      </c>
      <c r="E192" s="15" t="s">
        <v>7</v>
      </c>
      <c r="F192" s="15" t="s">
        <v>250</v>
      </c>
      <c r="G192" s="15">
        <v>1</v>
      </c>
      <c r="H192" s="19" t="b">
        <v>0</v>
      </c>
    </row>
    <row r="193" spans="1:8" ht="15" hidden="1" x14ac:dyDescent="0.3">
      <c r="A193" s="18">
        <f>SUMIF(Recept!D:D,"="&amp;F193,Recept!F:F)</f>
        <v>0</v>
      </c>
      <c r="B193" s="19" t="b">
        <v>0</v>
      </c>
      <c r="C193" s="15"/>
      <c r="D193" s="15">
        <f t="shared" si="3"/>
        <v>0</v>
      </c>
      <c r="E193" s="15" t="s">
        <v>7</v>
      </c>
      <c r="F193" s="15" t="s">
        <v>171</v>
      </c>
      <c r="G193" s="15">
        <v>1</v>
      </c>
      <c r="H193" s="19" t="b">
        <v>0</v>
      </c>
    </row>
    <row r="194" spans="1:8" ht="15" hidden="1" x14ac:dyDescent="0.3">
      <c r="A194" s="18">
        <f>SUMIF(Recept!D:D,"="&amp;F194,Recept!F:F)</f>
        <v>0</v>
      </c>
      <c r="B194" s="19" t="b">
        <v>0</v>
      </c>
      <c r="C194" s="15"/>
      <c r="D194" s="15">
        <f t="shared" si="3"/>
        <v>0</v>
      </c>
      <c r="E194" s="15" t="s">
        <v>7</v>
      </c>
      <c r="F194" s="15" t="s">
        <v>172</v>
      </c>
      <c r="G194" s="15">
        <v>1</v>
      </c>
      <c r="H194" s="19" t="b">
        <v>0</v>
      </c>
    </row>
    <row r="195" spans="1:8" ht="15" hidden="1" x14ac:dyDescent="0.3">
      <c r="A195" s="18">
        <f>SUMIF(Recept!D:D,"="&amp;F195,Recept!F:F)</f>
        <v>0</v>
      </c>
      <c r="B195" s="19" t="b">
        <v>0</v>
      </c>
      <c r="C195" s="15"/>
      <c r="D195" s="15">
        <f t="shared" si="3"/>
        <v>0</v>
      </c>
      <c r="E195" s="15" t="s">
        <v>7</v>
      </c>
      <c r="F195" s="15" t="s">
        <v>259</v>
      </c>
      <c r="G195" s="15">
        <v>1</v>
      </c>
      <c r="H195" s="19" t="b">
        <v>0</v>
      </c>
    </row>
    <row r="196" spans="1:8" ht="15" x14ac:dyDescent="0.3">
      <c r="B196" s="19" t="b">
        <v>0</v>
      </c>
    </row>
    <row r="197" spans="1:8" ht="15" x14ac:dyDescent="0.3">
      <c r="B197" s="19" t="b">
        <v>0</v>
      </c>
    </row>
    <row r="198" spans="1:8" ht="15" x14ac:dyDescent="0.3">
      <c r="B198" s="19" t="b">
        <v>0</v>
      </c>
    </row>
    <row r="199" spans="1:8" ht="15" x14ac:dyDescent="0.3">
      <c r="B199" s="19" t="b">
        <v>0</v>
      </c>
    </row>
    <row r="200" spans="1:8" ht="15" x14ac:dyDescent="0.3">
      <c r="B200" s="19" t="b">
        <v>0</v>
      </c>
    </row>
    <row r="201" spans="1:8" ht="15" x14ac:dyDescent="0.3">
      <c r="B201" s="19" t="b">
        <v>0</v>
      </c>
    </row>
    <row r="202" spans="1:8" ht="15" x14ac:dyDescent="0.3">
      <c r="B202" s="19" t="b">
        <v>0</v>
      </c>
    </row>
    <row r="203" spans="1:8" ht="15" x14ac:dyDescent="0.3">
      <c r="B203" s="19" t="b">
        <v>0</v>
      </c>
    </row>
    <row r="204" spans="1:8" ht="15" x14ac:dyDescent="0.3">
      <c r="B204" s="19" t="b">
        <v>0</v>
      </c>
    </row>
    <row r="205" spans="1:8" ht="15" x14ac:dyDescent="0.3">
      <c r="B205" s="19" t="b">
        <v>0</v>
      </c>
    </row>
    <row r="206" spans="1:8" ht="15" x14ac:dyDescent="0.3">
      <c r="B206" s="19" t="b">
        <v>0</v>
      </c>
    </row>
    <row r="207" spans="1:8" ht="15" x14ac:dyDescent="0.3">
      <c r="B207" s="19" t="b">
        <v>0</v>
      </c>
    </row>
  </sheetData>
  <autoFilter ref="A1:F207" xr:uid="{D4DFB839-BDB4-4A00-B2EB-65E63044B094}">
    <filterColumn colId="3">
      <filters blank="1">
        <filter val="0,5"/>
        <filter val="1"/>
        <filter val="10"/>
        <filter val="100"/>
        <filter val="100,3"/>
        <filter val="100,5"/>
        <filter val="104"/>
        <filter val="140"/>
        <filter val="150"/>
        <filter val="2"/>
        <filter val="20"/>
        <filter val="200"/>
        <filter val="3"/>
        <filter val="30"/>
        <filter val="350"/>
        <filter val="50"/>
        <filter val="600"/>
        <filter val="65"/>
        <filter val="8"/>
        <filter val="800"/>
      </filters>
    </filterColumn>
  </autoFilter>
  <sortState xmlns:xlrd2="http://schemas.microsoft.com/office/spreadsheetml/2017/richdata2" ref="A10:H37">
    <sortCondition ref="F10:F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EA15D-FE8F-472B-BD44-0D726E189993}">
  <dimension ref="A1:H185"/>
  <sheetViews>
    <sheetView tabSelected="1" topLeftCell="A65" zoomScaleNormal="100" workbookViewId="0">
      <selection activeCell="A62" sqref="A62:A65"/>
    </sheetView>
  </sheetViews>
  <sheetFormatPr defaultRowHeight="14.4" x14ac:dyDescent="0.3"/>
  <cols>
    <col min="2" max="2" width="25.88671875" bestFit="1" customWidth="1"/>
    <col min="3" max="3" width="13.5546875" bestFit="1" customWidth="1"/>
    <col min="4" max="4" width="19.44140625" bestFit="1" customWidth="1"/>
    <col min="5" max="6" width="10.109375" customWidth="1"/>
    <col min="7" max="7" width="18.109375" hidden="1" customWidth="1"/>
  </cols>
  <sheetData>
    <row r="1" spans="1:8" x14ac:dyDescent="0.3">
      <c r="A1" t="s">
        <v>173</v>
      </c>
      <c r="B1" t="s">
        <v>174</v>
      </c>
      <c r="C1" t="s">
        <v>175</v>
      </c>
      <c r="D1" t="s">
        <v>176</v>
      </c>
      <c r="E1" t="s">
        <v>177</v>
      </c>
      <c r="F1" t="s">
        <v>178</v>
      </c>
      <c r="G1" t="s">
        <v>179</v>
      </c>
      <c r="H1" t="s">
        <v>174</v>
      </c>
    </row>
    <row r="2" spans="1:8" ht="25.8" x14ac:dyDescent="0.5">
      <c r="A2" s="7"/>
      <c r="B2" s="2" t="s">
        <v>180</v>
      </c>
      <c r="C2" s="2"/>
      <c r="D2" s="2"/>
      <c r="E2" s="2"/>
      <c r="F2" s="2"/>
      <c r="G2" s="2"/>
    </row>
    <row r="3" spans="1:8" hidden="1" x14ac:dyDescent="0.3">
      <c r="A3" s="25" t="b">
        <v>0</v>
      </c>
      <c r="B3" s="26" t="s">
        <v>181</v>
      </c>
      <c r="C3" s="26">
        <v>1</v>
      </c>
      <c r="D3" t="s">
        <v>55</v>
      </c>
      <c r="E3">
        <v>1</v>
      </c>
      <c r="F3">
        <f>IF(A$3=TRUE,E3*C$3,0)</f>
        <v>0</v>
      </c>
      <c r="G3">
        <f>VLOOKUP(D3,Špajz!B:D,2,FALSE)</f>
        <v>0</v>
      </c>
    </row>
    <row r="4" spans="1:8" hidden="1" x14ac:dyDescent="0.3">
      <c r="A4" s="25"/>
      <c r="B4" s="26"/>
      <c r="C4" s="26"/>
      <c r="D4" t="s">
        <v>16</v>
      </c>
      <c r="E4">
        <v>1</v>
      </c>
      <c r="F4">
        <f t="shared" ref="F4" si="0">IF(A$3=TRUE,E4*C$3,0)</f>
        <v>0</v>
      </c>
      <c r="G4">
        <f>VLOOKUP(D4,Špajz!B:D,2,FALSE)</f>
        <v>0</v>
      </c>
    </row>
    <row r="5" spans="1:8" hidden="1" x14ac:dyDescent="0.3">
      <c r="A5" s="25" t="b">
        <v>0</v>
      </c>
      <c r="B5" s="26" t="s">
        <v>182</v>
      </c>
      <c r="C5" s="26">
        <v>1</v>
      </c>
      <c r="D5" t="s">
        <v>55</v>
      </c>
      <c r="E5">
        <v>1</v>
      </c>
      <c r="F5">
        <f>IF(A$5=TRUE,E5*C$3,0)</f>
        <v>0</v>
      </c>
      <c r="G5">
        <f>VLOOKUP(D5,Špajz!B:D,2,FALSE)</f>
        <v>0</v>
      </c>
    </row>
    <row r="6" spans="1:8" hidden="1" x14ac:dyDescent="0.3">
      <c r="A6" s="25"/>
      <c r="B6" s="26"/>
      <c r="C6" s="26"/>
      <c r="D6" t="s">
        <v>30</v>
      </c>
      <c r="E6">
        <v>1</v>
      </c>
      <c r="F6">
        <f>IF(A$5=TRUE,E6*C$3,0)</f>
        <v>0</v>
      </c>
      <c r="G6">
        <f>VLOOKUP(D6,Špajz!B:D,2,FALSE)</f>
        <v>0</v>
      </c>
    </row>
    <row r="7" spans="1:8" hidden="1" x14ac:dyDescent="0.3">
      <c r="A7" s="25" t="b">
        <v>0</v>
      </c>
      <c r="B7" s="26" t="s">
        <v>183</v>
      </c>
      <c r="C7" s="26">
        <v>1</v>
      </c>
      <c r="D7" t="s">
        <v>55</v>
      </c>
      <c r="E7">
        <v>1</v>
      </c>
      <c r="F7">
        <f>IF(A$7=TRUE,E7*C$3,0)</f>
        <v>0</v>
      </c>
      <c r="G7">
        <f>VLOOKUP(D7,Špajz!B:D,2,FALSE)</f>
        <v>0</v>
      </c>
    </row>
    <row r="8" spans="1:8" hidden="1" x14ac:dyDescent="0.3">
      <c r="A8" s="25"/>
      <c r="B8" s="26"/>
      <c r="C8" s="26"/>
      <c r="D8" t="s">
        <v>25</v>
      </c>
      <c r="E8">
        <v>1</v>
      </c>
      <c r="F8">
        <f>IF(A$7=TRUE,E8*C$3,0)</f>
        <v>0</v>
      </c>
      <c r="G8">
        <f>VLOOKUP(D8,Špajz!B:D,2,FALSE)</f>
        <v>0</v>
      </c>
    </row>
    <row r="9" spans="1:8" hidden="1" x14ac:dyDescent="0.3">
      <c r="A9" s="25"/>
      <c r="B9" s="26" t="s">
        <v>184</v>
      </c>
      <c r="C9" s="26">
        <v>1</v>
      </c>
      <c r="D9" t="s">
        <v>55</v>
      </c>
      <c r="E9">
        <v>1</v>
      </c>
      <c r="F9">
        <f>IF(A$9=TRUE,E9*C$3,0)</f>
        <v>0</v>
      </c>
      <c r="G9">
        <f>VLOOKUP(D9,Špajz!B:D,2,FALSE)</f>
        <v>0</v>
      </c>
    </row>
    <row r="10" spans="1:8" hidden="1" x14ac:dyDescent="0.3">
      <c r="A10" s="25"/>
      <c r="B10" s="26"/>
      <c r="C10" s="26"/>
      <c r="D10" t="s">
        <v>35</v>
      </c>
      <c r="E10">
        <v>1</v>
      </c>
      <c r="F10">
        <f>IF(A$9=TRUE,E10*C$3,0)</f>
        <v>0</v>
      </c>
      <c r="G10">
        <f>VLOOKUP(D10,Špajz!B:D,2,FALSE)</f>
        <v>0</v>
      </c>
    </row>
    <row r="11" spans="1:8" hidden="1" x14ac:dyDescent="0.3">
      <c r="A11" s="25" t="b">
        <v>0</v>
      </c>
      <c r="B11" s="26" t="s">
        <v>185</v>
      </c>
      <c r="C11" s="26">
        <v>1</v>
      </c>
      <c r="D11" t="s">
        <v>55</v>
      </c>
      <c r="E11">
        <v>1</v>
      </c>
      <c r="F11">
        <f>IF(A$11=TRUE,E11*C$3,0)</f>
        <v>0</v>
      </c>
      <c r="G11">
        <f>VLOOKUP(D11,Špajz!B:D,2,FALSE)</f>
        <v>0</v>
      </c>
    </row>
    <row r="12" spans="1:8" hidden="1" x14ac:dyDescent="0.3">
      <c r="A12" s="25"/>
      <c r="B12" s="26"/>
      <c r="C12" s="26"/>
      <c r="D12" t="s">
        <v>24</v>
      </c>
      <c r="E12">
        <v>1</v>
      </c>
      <c r="F12">
        <f>IF(A$11=TRUE,E12*C$3,0)</f>
        <v>0</v>
      </c>
      <c r="G12">
        <f>VLOOKUP(D12,Špajz!B:D,2,FALSE)</f>
        <v>0</v>
      </c>
    </row>
    <row r="13" spans="1:8" x14ac:dyDescent="0.3">
      <c r="A13" s="25" t="b">
        <v>0</v>
      </c>
      <c r="B13" s="26" t="s">
        <v>186</v>
      </c>
      <c r="C13" s="26">
        <v>1</v>
      </c>
      <c r="D13" t="s">
        <v>63</v>
      </c>
      <c r="E13">
        <v>200</v>
      </c>
      <c r="F13">
        <f>IF(A$13=TRUE,E13*C$13,0)</f>
        <v>0</v>
      </c>
      <c r="G13">
        <f>VLOOKUP(D13,Špajz!B:D,2,FALSE)</f>
        <v>0</v>
      </c>
    </row>
    <row r="14" spans="1:8" x14ac:dyDescent="0.3">
      <c r="A14" s="25"/>
      <c r="B14" s="26"/>
      <c r="C14" s="26"/>
      <c r="D14" t="s">
        <v>16</v>
      </c>
      <c r="E14">
        <v>1</v>
      </c>
      <c r="F14">
        <f>IF(A$13=TRUE,E14*C$13,0)</f>
        <v>0</v>
      </c>
      <c r="G14">
        <f>VLOOKUP(D14,Špajz!B:D,2,FALSE)</f>
        <v>0</v>
      </c>
    </row>
    <row r="15" spans="1:8" ht="15.75" customHeight="1" x14ac:dyDescent="0.3">
      <c r="A15" s="25"/>
      <c r="B15" s="26"/>
      <c r="C15" s="26"/>
      <c r="D15" t="s">
        <v>64</v>
      </c>
      <c r="E15">
        <v>100</v>
      </c>
      <c r="F15">
        <f>IF(A$13=TRUE,E15*C$13,0)</f>
        <v>0</v>
      </c>
      <c r="G15">
        <f>VLOOKUP(D15,Špajz!B:D,2,FALSE)</f>
        <v>0</v>
      </c>
    </row>
    <row r="16" spans="1:8" x14ac:dyDescent="0.3">
      <c r="A16" s="25" t="b">
        <v>1</v>
      </c>
      <c r="B16" s="26" t="s">
        <v>187</v>
      </c>
      <c r="C16" s="26">
        <v>1</v>
      </c>
      <c r="D16" t="s">
        <v>71</v>
      </c>
      <c r="E16">
        <v>3</v>
      </c>
      <c r="F16">
        <f>IF(A$16=TRUE,E16*C$16,0)</f>
        <v>3</v>
      </c>
      <c r="G16">
        <f>VLOOKUP(D16,Špajz!B:D,2,FALSE)</f>
        <v>0</v>
      </c>
    </row>
    <row r="17" spans="1:7" x14ac:dyDescent="0.3">
      <c r="A17" s="25"/>
      <c r="B17" s="26"/>
      <c r="C17" s="26"/>
      <c r="D17" t="s">
        <v>21</v>
      </c>
      <c r="E17">
        <v>1</v>
      </c>
      <c r="F17">
        <f t="shared" ref="F17:F18" si="1">IF(A$16=TRUE,E17*C$16,0)</f>
        <v>1</v>
      </c>
      <c r="G17">
        <f>VLOOKUP(D17,Špajz!B:D,2,FALSE)</f>
        <v>0</v>
      </c>
    </row>
    <row r="18" spans="1:7" x14ac:dyDescent="0.3">
      <c r="A18" s="25"/>
      <c r="B18" s="26"/>
      <c r="C18" s="26"/>
      <c r="D18" t="s">
        <v>262</v>
      </c>
      <c r="E18">
        <v>0.5</v>
      </c>
      <c r="F18">
        <f t="shared" si="1"/>
        <v>0.5</v>
      </c>
      <c r="G18" t="e">
        <f>VLOOKUP(D18,Špajz!B:D,2,FALSE)</f>
        <v>#N/A</v>
      </c>
    </row>
    <row r="19" spans="1:7" x14ac:dyDescent="0.3">
      <c r="A19" s="25"/>
      <c r="B19" s="26"/>
      <c r="C19" s="26"/>
      <c r="D19" t="s">
        <v>28</v>
      </c>
      <c r="E19">
        <v>0.3</v>
      </c>
      <c r="F19">
        <f>IF(A$16=TRUE,E19*C$16,0)</f>
        <v>0.3</v>
      </c>
      <c r="G19">
        <f>VLOOKUP(D19,Špajz!B:D,2,FALSE)</f>
        <v>0</v>
      </c>
    </row>
    <row r="20" spans="1:7" x14ac:dyDescent="0.3">
      <c r="A20" s="25" t="b">
        <v>1</v>
      </c>
      <c r="B20" s="26" t="s">
        <v>188</v>
      </c>
      <c r="C20" s="26">
        <v>1</v>
      </c>
      <c r="D20" t="s">
        <v>71</v>
      </c>
      <c r="E20">
        <v>3</v>
      </c>
      <c r="F20">
        <f>IF(A$20=TRUE,E20*C$20,0)</f>
        <v>3</v>
      </c>
      <c r="G20">
        <f>VLOOKUP(D20,Špajz!B:D,2,FALSE)</f>
        <v>0</v>
      </c>
    </row>
    <row r="21" spans="1:7" ht="14.85" customHeight="1" x14ac:dyDescent="0.3">
      <c r="A21" s="25"/>
      <c r="B21" s="26"/>
      <c r="C21" s="26"/>
      <c r="D21" t="s">
        <v>83</v>
      </c>
      <c r="E21">
        <v>65</v>
      </c>
      <c r="F21">
        <f t="shared" ref="F21:F22" si="2">IF(A$20=TRUE,E21*C$20,0)</f>
        <v>65</v>
      </c>
      <c r="G21">
        <f>VLOOKUP(D21,Špajz!B:D,2,FALSE)</f>
        <v>0</v>
      </c>
    </row>
    <row r="22" spans="1:7" ht="14.85" customHeight="1" x14ac:dyDescent="0.3">
      <c r="A22" s="25"/>
      <c r="B22" s="26"/>
      <c r="C22" s="26"/>
      <c r="D22" t="s">
        <v>262</v>
      </c>
      <c r="E22">
        <v>0.5</v>
      </c>
      <c r="F22">
        <f t="shared" si="2"/>
        <v>0.5</v>
      </c>
      <c r="G22" t="e">
        <f>VLOOKUP(D22,Špajz!B:D,2,FALSE)</f>
        <v>#N/A</v>
      </c>
    </row>
    <row r="23" spans="1:7" x14ac:dyDescent="0.3">
      <c r="A23" s="25" t="b">
        <v>1</v>
      </c>
      <c r="B23" s="26" t="s">
        <v>189</v>
      </c>
      <c r="C23" s="26">
        <v>1</v>
      </c>
      <c r="D23" t="s">
        <v>63</v>
      </c>
      <c r="E23">
        <v>200</v>
      </c>
      <c r="F23">
        <f>IF(A$23=TRUE,E23*C$23,0)</f>
        <v>200</v>
      </c>
      <c r="G23">
        <f>VLOOKUP(D23,Špajz!B:D,2,FALSE)</f>
        <v>0</v>
      </c>
    </row>
    <row r="24" spans="1:7" x14ac:dyDescent="0.3">
      <c r="A24" s="25"/>
      <c r="B24" s="26"/>
      <c r="C24" s="26"/>
      <c r="D24" t="s">
        <v>258</v>
      </c>
      <c r="E24">
        <v>1</v>
      </c>
      <c r="F24">
        <f t="shared" ref="F24:F25" si="3">IF(A$23=TRUE,E24*C$23,0)</f>
        <v>1</v>
      </c>
      <c r="G24" t="e">
        <f>VLOOKUP(D24,Špajz!B:D,2,FALSE)</f>
        <v>#N/A</v>
      </c>
    </row>
    <row r="25" spans="1:7" x14ac:dyDescent="0.3">
      <c r="A25" s="25"/>
      <c r="B25" s="26"/>
      <c r="C25" s="26"/>
      <c r="D25" t="s">
        <v>64</v>
      </c>
      <c r="E25">
        <v>100</v>
      </c>
      <c r="F25">
        <f t="shared" si="3"/>
        <v>100</v>
      </c>
      <c r="G25">
        <f>VLOOKUP(D25,Špajz!B:D,2,FALSE)</f>
        <v>0</v>
      </c>
    </row>
    <row r="26" spans="1:7" x14ac:dyDescent="0.3">
      <c r="A26" s="25" t="b">
        <v>1</v>
      </c>
      <c r="B26" s="26" t="s">
        <v>190</v>
      </c>
      <c r="C26" s="26">
        <v>1</v>
      </c>
      <c r="D26" t="s">
        <v>50</v>
      </c>
      <c r="E26">
        <v>100</v>
      </c>
      <c r="F26">
        <f>IF(A$26=TRUE,E26*C$26,0)</f>
        <v>100</v>
      </c>
      <c r="G26">
        <f>VLOOKUP(D26,Špajz!B:D,2,FALSE)</f>
        <v>0</v>
      </c>
    </row>
    <row r="27" spans="1:7" x14ac:dyDescent="0.3">
      <c r="A27" s="25"/>
      <c r="B27" s="26"/>
      <c r="C27" s="26"/>
      <c r="D27" t="s">
        <v>14</v>
      </c>
      <c r="E27">
        <v>100</v>
      </c>
      <c r="F27">
        <f t="shared" ref="F27:F31" si="4">IF(A$26=TRUE,E27*C$26,0)</f>
        <v>100</v>
      </c>
      <c r="G27">
        <f>VLOOKUP(D27,Špajz!B:D,2,FALSE)</f>
        <v>0</v>
      </c>
    </row>
    <row r="28" spans="1:7" x14ac:dyDescent="0.3">
      <c r="A28" s="25"/>
      <c r="B28" s="26"/>
      <c r="C28" s="26"/>
      <c r="D28" t="s">
        <v>25</v>
      </c>
      <c r="E28">
        <v>1</v>
      </c>
      <c r="F28">
        <f t="shared" si="4"/>
        <v>1</v>
      </c>
    </row>
    <row r="29" spans="1:7" x14ac:dyDescent="0.3">
      <c r="A29" s="25"/>
      <c r="B29" s="26"/>
      <c r="C29" s="26"/>
      <c r="D29" t="s">
        <v>67</v>
      </c>
      <c r="E29">
        <v>1</v>
      </c>
      <c r="F29">
        <f t="shared" si="4"/>
        <v>1</v>
      </c>
      <c r="G29">
        <f>VLOOKUP(D29,Špajz!B:D,2,FALSE)</f>
        <v>0</v>
      </c>
    </row>
    <row r="30" spans="1:7" x14ac:dyDescent="0.3">
      <c r="A30" s="25" t="b">
        <v>1</v>
      </c>
      <c r="B30" s="26" t="s">
        <v>191</v>
      </c>
      <c r="C30" s="26">
        <v>1</v>
      </c>
      <c r="D30" t="s">
        <v>30</v>
      </c>
      <c r="E30">
        <v>1</v>
      </c>
      <c r="F30">
        <f t="shared" si="4"/>
        <v>1</v>
      </c>
      <c r="G30">
        <f>VLOOKUP(D30,Špajz!B:D,2,FALSE)</f>
        <v>0</v>
      </c>
    </row>
    <row r="31" spans="1:7" x14ac:dyDescent="0.3">
      <c r="A31" s="25"/>
      <c r="B31" s="26"/>
      <c r="C31" s="26"/>
      <c r="D31" t="s">
        <v>55</v>
      </c>
      <c r="E31">
        <v>1</v>
      </c>
      <c r="F31">
        <f t="shared" si="4"/>
        <v>1</v>
      </c>
      <c r="G31">
        <f>VLOOKUP(D31,Špajz!B:D,2,FALSE)</f>
        <v>0</v>
      </c>
    </row>
    <row r="32" spans="1:7" x14ac:dyDescent="0.3">
      <c r="A32" s="25" t="b">
        <v>1</v>
      </c>
      <c r="B32" s="26" t="s">
        <v>256</v>
      </c>
      <c r="C32" s="26">
        <v>1</v>
      </c>
      <c r="D32" t="s">
        <v>255</v>
      </c>
      <c r="E32">
        <v>30</v>
      </c>
      <c r="F32">
        <f>IF(A$32=TRUE,E32*C$32,0)</f>
        <v>30</v>
      </c>
    </row>
    <row r="33" spans="1:7" x14ac:dyDescent="0.3">
      <c r="A33" s="25"/>
      <c r="B33" s="26"/>
      <c r="C33" s="26"/>
      <c r="D33" t="s">
        <v>93</v>
      </c>
      <c r="E33">
        <v>20</v>
      </c>
      <c r="F33">
        <f t="shared" ref="F33:F36" si="5">IF(A$32=TRUE,E33*C$32,0)</f>
        <v>20</v>
      </c>
    </row>
    <row r="34" spans="1:7" x14ac:dyDescent="0.3">
      <c r="A34" s="25"/>
      <c r="B34" s="26"/>
      <c r="C34" s="26"/>
      <c r="D34" t="s">
        <v>16</v>
      </c>
      <c r="E34">
        <v>1</v>
      </c>
      <c r="F34">
        <f t="shared" si="5"/>
        <v>1</v>
      </c>
    </row>
    <row r="35" spans="1:7" x14ac:dyDescent="0.3">
      <c r="A35" s="25"/>
      <c r="B35" s="26"/>
      <c r="C35" s="26"/>
      <c r="D35" t="s">
        <v>71</v>
      </c>
      <c r="E35">
        <v>1</v>
      </c>
      <c r="F35">
        <f t="shared" si="5"/>
        <v>1</v>
      </c>
    </row>
    <row r="36" spans="1:7" x14ac:dyDescent="0.3">
      <c r="A36" s="25"/>
      <c r="B36" s="26"/>
      <c r="C36" s="26"/>
      <c r="D36" t="s">
        <v>257</v>
      </c>
      <c r="E36">
        <v>10</v>
      </c>
      <c r="F36">
        <f t="shared" si="5"/>
        <v>10</v>
      </c>
    </row>
    <row r="37" spans="1:7" x14ac:dyDescent="0.3">
      <c r="A37" s="14"/>
      <c r="B37" s="13"/>
      <c r="C37" s="13"/>
    </row>
    <row r="38" spans="1:7" ht="25.8" x14ac:dyDescent="0.5">
      <c r="A38" s="6"/>
      <c r="B38" s="3" t="s">
        <v>192</v>
      </c>
      <c r="C38" s="3"/>
      <c r="D38" s="3"/>
      <c r="E38" s="3"/>
      <c r="F38" s="3"/>
      <c r="G38" s="6"/>
    </row>
    <row r="39" spans="1:7" x14ac:dyDescent="0.3">
      <c r="A39" s="25" t="b">
        <v>0</v>
      </c>
      <c r="B39" s="26" t="s">
        <v>205</v>
      </c>
      <c r="C39" s="26">
        <v>1</v>
      </c>
      <c r="D39" t="s">
        <v>70</v>
      </c>
      <c r="E39">
        <v>150</v>
      </c>
      <c r="F39">
        <f>IF(A$39=TRUE,E39*C$39,0)</f>
        <v>0</v>
      </c>
      <c r="G39">
        <f>VLOOKUP(D39,Špajz!B:D,2,FALSE)</f>
        <v>0</v>
      </c>
    </row>
    <row r="40" spans="1:7" x14ac:dyDescent="0.3">
      <c r="A40" s="25"/>
      <c r="B40" s="26"/>
      <c r="C40" s="26"/>
      <c r="D40" t="s">
        <v>26</v>
      </c>
      <c r="E40">
        <v>0.5</v>
      </c>
      <c r="F40">
        <f t="shared" ref="F40:F43" si="6">IF(A$39=TRUE,E40*C$39,0)</f>
        <v>0</v>
      </c>
      <c r="G40">
        <f>VLOOKUP(D40,Špajz!B:D,2,FALSE)</f>
        <v>0</v>
      </c>
    </row>
    <row r="41" spans="1:7" x14ac:dyDescent="0.3">
      <c r="A41" s="25"/>
      <c r="B41" s="26"/>
      <c r="C41" s="26"/>
      <c r="D41" t="s">
        <v>27</v>
      </c>
      <c r="E41">
        <v>1</v>
      </c>
      <c r="F41">
        <f t="shared" si="6"/>
        <v>0</v>
      </c>
      <c r="G41">
        <f>VLOOKUP(D41,Špajz!B:D,2,FALSE)</f>
        <v>0</v>
      </c>
    </row>
    <row r="42" spans="1:7" x14ac:dyDescent="0.3">
      <c r="A42" s="25"/>
      <c r="B42" s="26"/>
      <c r="C42" s="26"/>
      <c r="D42" t="s">
        <v>36</v>
      </c>
      <c r="E42">
        <v>0.3</v>
      </c>
      <c r="F42">
        <f t="shared" si="6"/>
        <v>0</v>
      </c>
      <c r="G42">
        <f>VLOOKUP(D42,Špajz!B:D,2,FALSE)</f>
        <v>0</v>
      </c>
    </row>
    <row r="43" spans="1:7" x14ac:dyDescent="0.3">
      <c r="A43" s="25"/>
      <c r="B43" s="26"/>
      <c r="C43" s="26"/>
      <c r="D43" t="s">
        <v>71</v>
      </c>
      <c r="E43">
        <v>1</v>
      </c>
      <c r="F43">
        <f t="shared" si="6"/>
        <v>0</v>
      </c>
      <c r="G43">
        <f>VLOOKUP(D43,Špajz!B:D,2,FALSE)</f>
        <v>0</v>
      </c>
    </row>
    <row r="44" spans="1:7" x14ac:dyDescent="0.3">
      <c r="A44" s="25" t="b">
        <v>1</v>
      </c>
      <c r="B44" s="26" t="s">
        <v>207</v>
      </c>
      <c r="C44" s="26">
        <v>1</v>
      </c>
      <c r="D44" t="s">
        <v>229</v>
      </c>
      <c r="E44">
        <v>50</v>
      </c>
      <c r="F44">
        <f>IF(A$44=TRUE,E44*C$44,0)</f>
        <v>50</v>
      </c>
      <c r="G44">
        <f>VLOOKUP(D44,Špajz!B:D,2,FALSE)</f>
        <v>0</v>
      </c>
    </row>
    <row r="45" spans="1:7" x14ac:dyDescent="0.3">
      <c r="A45" s="25"/>
      <c r="B45" s="26"/>
      <c r="C45" s="26"/>
      <c r="D45" t="s">
        <v>19</v>
      </c>
      <c r="E45">
        <v>0.5</v>
      </c>
      <c r="F45">
        <f>IF(A$44=TRUE,E45*C$44,0)</f>
        <v>0.5</v>
      </c>
    </row>
    <row r="46" spans="1:7" x14ac:dyDescent="0.3">
      <c r="A46" s="25"/>
      <c r="B46" s="26"/>
      <c r="C46" s="26"/>
      <c r="D46" t="s">
        <v>56</v>
      </c>
      <c r="E46">
        <v>50</v>
      </c>
      <c r="F46">
        <f>IF(A$44=TRUE,E46*C$44,0)</f>
        <v>50</v>
      </c>
      <c r="G46">
        <f>VLOOKUP(D46,Špajz!B:D,2,FALSE)</f>
        <v>0</v>
      </c>
    </row>
    <row r="47" spans="1:7" x14ac:dyDescent="0.3">
      <c r="A47" s="5" t="b">
        <v>1</v>
      </c>
      <c r="B47" s="12" t="s">
        <v>215</v>
      </c>
      <c r="C47" s="11">
        <v>4</v>
      </c>
      <c r="D47" t="s">
        <v>41</v>
      </c>
      <c r="E47">
        <v>200</v>
      </c>
      <c r="F47">
        <f>IF(A47=TRUE,E47*C$47,0)</f>
        <v>800</v>
      </c>
      <c r="G47">
        <f>VLOOKUP(D47,Špajz!B:D,2,FALSE)</f>
        <v>0</v>
      </c>
    </row>
    <row r="48" spans="1:7" x14ac:dyDescent="0.3">
      <c r="A48" s="25" t="b">
        <v>0</v>
      </c>
      <c r="B48" s="26" t="s">
        <v>217</v>
      </c>
      <c r="C48" s="26">
        <v>4</v>
      </c>
      <c r="D48" t="s">
        <v>47</v>
      </c>
      <c r="E48">
        <v>150</v>
      </c>
      <c r="F48">
        <f>IF(A$48=TRUE,E48*C$48,0)</f>
        <v>0</v>
      </c>
      <c r="G48">
        <f>VLOOKUP(D48,Špajz!B:D,2,FALSE)</f>
        <v>0</v>
      </c>
    </row>
    <row r="49" spans="1:7" x14ac:dyDescent="0.3">
      <c r="A49" s="25"/>
      <c r="B49" s="26"/>
      <c r="C49" s="26"/>
      <c r="D49" t="s">
        <v>71</v>
      </c>
      <c r="E49">
        <v>1</v>
      </c>
      <c r="F49">
        <f t="shared" ref="F49:F50" si="7">IF(A$48=TRUE,E49*C$48,0)</f>
        <v>0</v>
      </c>
      <c r="G49">
        <f>VLOOKUP(D49,Špajz!B:D,2,FALSE)</f>
        <v>0</v>
      </c>
    </row>
    <row r="50" spans="1:7" x14ac:dyDescent="0.3">
      <c r="A50" s="25"/>
      <c r="B50" s="26"/>
      <c r="C50" s="26"/>
      <c r="D50" t="s">
        <v>21</v>
      </c>
      <c r="E50">
        <v>0.5</v>
      </c>
      <c r="F50">
        <f t="shared" si="7"/>
        <v>0</v>
      </c>
      <c r="G50">
        <f>VLOOKUP(D50,Špajz!B:D,2,FALSE)</f>
        <v>0</v>
      </c>
    </row>
    <row r="51" spans="1:7" x14ac:dyDescent="0.3">
      <c r="A51" s="25" t="b">
        <v>0</v>
      </c>
      <c r="B51" s="26" t="s">
        <v>220</v>
      </c>
      <c r="C51" s="26">
        <v>4</v>
      </c>
      <c r="D51" t="s">
        <v>58</v>
      </c>
      <c r="E51">
        <v>0.8</v>
      </c>
      <c r="F51">
        <f>IF(A$51=TRUE,E51*C$51,0)</f>
        <v>0</v>
      </c>
      <c r="G51">
        <f>VLOOKUP(D51,Špajz!B:D,2,FALSE)</f>
        <v>0</v>
      </c>
    </row>
    <row r="52" spans="1:7" x14ac:dyDescent="0.3">
      <c r="A52" s="25"/>
      <c r="B52" s="26"/>
      <c r="C52" s="26"/>
      <c r="D52" t="s">
        <v>21</v>
      </c>
      <c r="E52">
        <v>1</v>
      </c>
      <c r="F52">
        <f t="shared" ref="F52:F53" si="8">IF(A$51=TRUE,E52*C$51,0)</f>
        <v>0</v>
      </c>
      <c r="G52">
        <f>VLOOKUP(D52,Špajz!B:D,2,FALSE)</f>
        <v>0</v>
      </c>
    </row>
    <row r="53" spans="1:7" x14ac:dyDescent="0.3">
      <c r="A53" s="25"/>
      <c r="B53" s="26"/>
      <c r="C53" s="26"/>
      <c r="D53" t="s">
        <v>221</v>
      </c>
      <c r="E53">
        <v>150</v>
      </c>
      <c r="F53">
        <f t="shared" si="8"/>
        <v>0</v>
      </c>
      <c r="G53">
        <f>VLOOKUP(D53,Špajz!B:D,2,FALSE)</f>
        <v>0</v>
      </c>
    </row>
    <row r="54" spans="1:7" x14ac:dyDescent="0.3">
      <c r="A54" s="25" t="b">
        <v>0</v>
      </c>
      <c r="B54" s="26" t="s">
        <v>222</v>
      </c>
      <c r="C54" s="26">
        <v>1</v>
      </c>
      <c r="D54" t="s">
        <v>46</v>
      </c>
      <c r="E54">
        <v>200</v>
      </c>
      <c r="F54">
        <f>IF(A$54=TRUE,E54*C$54,0)</f>
        <v>0</v>
      </c>
      <c r="G54">
        <f>VLOOKUP(D54,Špajz!B:D,2,FALSE)</f>
        <v>0</v>
      </c>
    </row>
    <row r="55" spans="1:7" x14ac:dyDescent="0.3">
      <c r="A55" s="25"/>
      <c r="B55" s="26"/>
      <c r="C55" s="26"/>
      <c r="D55" t="s">
        <v>36</v>
      </c>
      <c r="E55">
        <v>0.3</v>
      </c>
      <c r="F55">
        <f t="shared" ref="F55:F56" si="9">IF(A$54=TRUE,E55*C$54,0)</f>
        <v>0</v>
      </c>
      <c r="G55">
        <f>VLOOKUP(D55,Špajz!B:D,2,FALSE)</f>
        <v>0</v>
      </c>
    </row>
    <row r="56" spans="1:7" x14ac:dyDescent="0.3">
      <c r="A56" s="25"/>
      <c r="B56" s="26"/>
      <c r="C56" s="26"/>
      <c r="D56" t="s">
        <v>26</v>
      </c>
      <c r="E56">
        <v>0.5</v>
      </c>
      <c r="F56">
        <f t="shared" si="9"/>
        <v>0</v>
      </c>
      <c r="G56">
        <f>VLOOKUP(D56,Špajz!B:D,2,FALSE)</f>
        <v>0</v>
      </c>
    </row>
    <row r="57" spans="1:7" x14ac:dyDescent="0.3">
      <c r="A57" s="25" t="b">
        <v>1</v>
      </c>
      <c r="B57" s="26" t="s">
        <v>200</v>
      </c>
      <c r="C57" s="26">
        <v>1</v>
      </c>
      <c r="D57" t="s">
        <v>71</v>
      </c>
      <c r="E57">
        <v>1</v>
      </c>
      <c r="F57">
        <f>IF(A$57=TRUE,E57*C$57,0)</f>
        <v>1</v>
      </c>
      <c r="G57">
        <f>VLOOKUP(D57,Špajz!B:D,2,FALSE)</f>
        <v>0</v>
      </c>
    </row>
    <row r="58" spans="1:7" x14ac:dyDescent="0.3">
      <c r="A58" s="25"/>
      <c r="B58" s="26"/>
      <c r="C58" s="26"/>
      <c r="D58" t="s">
        <v>26</v>
      </c>
      <c r="E58">
        <v>0.5</v>
      </c>
      <c r="F58">
        <f t="shared" ref="F58:F60" si="10">IF(A$57=TRUE,E58*C$57,0)</f>
        <v>0.5</v>
      </c>
      <c r="G58">
        <f>VLOOKUP(D58,Špajz!B:D,2,FALSE)</f>
        <v>0</v>
      </c>
    </row>
    <row r="59" spans="1:7" x14ac:dyDescent="0.3">
      <c r="A59" s="25"/>
      <c r="B59" s="26"/>
      <c r="C59" s="26"/>
      <c r="D59" t="s">
        <v>27</v>
      </c>
      <c r="E59">
        <v>1</v>
      </c>
      <c r="F59">
        <f t="shared" si="10"/>
        <v>1</v>
      </c>
      <c r="G59">
        <f>VLOOKUP(D59,Špajz!B:D,2,FALSE)</f>
        <v>0</v>
      </c>
    </row>
    <row r="60" spans="1:7" x14ac:dyDescent="0.3">
      <c r="A60" s="25"/>
      <c r="B60" s="26"/>
      <c r="C60" s="26"/>
      <c r="D60" t="s">
        <v>36</v>
      </c>
      <c r="E60">
        <v>0.3</v>
      </c>
      <c r="F60">
        <f t="shared" si="10"/>
        <v>0.3</v>
      </c>
      <c r="G60">
        <f>VLOOKUP(D60,Špajz!B:D,2,FALSE)</f>
        <v>0</v>
      </c>
    </row>
    <row r="61" spans="1:7" x14ac:dyDescent="0.3">
      <c r="A61" s="24" t="b">
        <v>1</v>
      </c>
      <c r="B61" s="11" t="s">
        <v>264</v>
      </c>
      <c r="C61" s="11">
        <v>4</v>
      </c>
      <c r="D61" t="s">
        <v>221</v>
      </c>
      <c r="E61">
        <v>150</v>
      </c>
      <c r="F61">
        <f>IF(A$61=TRUE,E61*C$61,0)</f>
        <v>600</v>
      </c>
    </row>
    <row r="62" spans="1:7" x14ac:dyDescent="0.3">
      <c r="A62" s="25" t="b">
        <v>0</v>
      </c>
      <c r="B62" s="26" t="s">
        <v>224</v>
      </c>
      <c r="C62" s="26">
        <v>1</v>
      </c>
      <c r="D62" t="s">
        <v>79</v>
      </c>
      <c r="E62">
        <v>1</v>
      </c>
      <c r="F62">
        <f>IF(A$62=TRUE,E62*C$62,0)</f>
        <v>0</v>
      </c>
      <c r="G62">
        <f>VLOOKUP(D62,Špajz!B:D,2,FALSE)</f>
        <v>0</v>
      </c>
    </row>
    <row r="63" spans="1:7" x14ac:dyDescent="0.3">
      <c r="A63" s="25"/>
      <c r="B63" s="26"/>
      <c r="C63" s="26"/>
      <c r="D63" t="s">
        <v>58</v>
      </c>
      <c r="E63">
        <v>0.5</v>
      </c>
      <c r="F63">
        <f t="shared" ref="F63:F65" si="11">IF(A$62=TRUE,E63*C$62,0)</f>
        <v>0</v>
      </c>
      <c r="G63">
        <f>VLOOKUP(D63,Špajz!B:D,2,FALSE)</f>
        <v>0</v>
      </c>
    </row>
    <row r="64" spans="1:7" x14ac:dyDescent="0.3">
      <c r="A64" s="25"/>
      <c r="B64" s="26"/>
      <c r="C64" s="26"/>
      <c r="D64" t="s">
        <v>226</v>
      </c>
      <c r="E64">
        <v>50</v>
      </c>
      <c r="F64">
        <f t="shared" si="11"/>
        <v>0</v>
      </c>
      <c r="G64">
        <f>VLOOKUP(D64,Špajz!B:D,2,FALSE)</f>
        <v>0</v>
      </c>
    </row>
    <row r="65" spans="1:8" x14ac:dyDescent="0.3">
      <c r="A65" s="25"/>
      <c r="B65" s="26"/>
      <c r="C65" s="26"/>
      <c r="D65" t="s">
        <v>21</v>
      </c>
      <c r="E65">
        <v>1</v>
      </c>
      <c r="F65">
        <f t="shared" si="11"/>
        <v>0</v>
      </c>
      <c r="G65">
        <f>VLOOKUP(D65,Špajz!B:D,2,FALSE)</f>
        <v>0</v>
      </c>
    </row>
    <row r="66" spans="1:8" x14ac:dyDescent="0.3">
      <c r="A66" s="25" t="b">
        <v>0</v>
      </c>
      <c r="B66" s="26" t="s">
        <v>212</v>
      </c>
      <c r="C66" s="26">
        <v>4</v>
      </c>
      <c r="D66" t="s">
        <v>252</v>
      </c>
      <c r="E66">
        <v>200</v>
      </c>
      <c r="F66">
        <f t="shared" ref="F66:F71" si="12">IF(A$66=TRUE,E66*C$66,0)</f>
        <v>0</v>
      </c>
      <c r="G66">
        <f>VLOOKUP(D66,Špajz!B:D,2,FALSE)</f>
        <v>0</v>
      </c>
    </row>
    <row r="67" spans="1:8" x14ac:dyDescent="0.3">
      <c r="A67" s="25"/>
      <c r="B67" s="26"/>
      <c r="C67" s="26"/>
      <c r="D67" t="s">
        <v>21</v>
      </c>
      <c r="E67">
        <v>0.5</v>
      </c>
      <c r="F67">
        <f t="shared" si="12"/>
        <v>0</v>
      </c>
      <c r="G67">
        <f>VLOOKUP(D67,Špajz!B:D,2,FALSE)</f>
        <v>0</v>
      </c>
    </row>
    <row r="68" spans="1:8" x14ac:dyDescent="0.3">
      <c r="A68" s="25"/>
      <c r="B68" s="26"/>
      <c r="C68" s="26"/>
      <c r="D68" t="s">
        <v>50</v>
      </c>
      <c r="E68">
        <v>50</v>
      </c>
      <c r="F68">
        <f t="shared" si="12"/>
        <v>0</v>
      </c>
      <c r="G68">
        <f>VLOOKUP(D68,Špajz!B:D,2,FALSE)</f>
        <v>0</v>
      </c>
    </row>
    <row r="69" spans="1:8" x14ac:dyDescent="0.3">
      <c r="A69" s="25"/>
      <c r="B69" s="26"/>
      <c r="C69" s="26"/>
      <c r="D69" t="s">
        <v>58</v>
      </c>
      <c r="E69">
        <v>50</v>
      </c>
      <c r="F69">
        <f t="shared" si="12"/>
        <v>0</v>
      </c>
      <c r="G69">
        <f>VLOOKUP(D69,Špajz!B:D,2,FALSE)</f>
        <v>0</v>
      </c>
    </row>
    <row r="70" spans="1:8" x14ac:dyDescent="0.3">
      <c r="A70" s="25"/>
      <c r="B70" s="26"/>
      <c r="C70" s="26"/>
      <c r="D70" t="s">
        <v>255</v>
      </c>
      <c r="E70">
        <v>100</v>
      </c>
      <c r="F70">
        <f t="shared" si="12"/>
        <v>0</v>
      </c>
    </row>
    <row r="71" spans="1:8" x14ac:dyDescent="0.3">
      <c r="A71" s="25"/>
      <c r="B71" s="26"/>
      <c r="C71" s="26"/>
      <c r="D71" t="s">
        <v>71</v>
      </c>
      <c r="E71">
        <v>1</v>
      </c>
      <c r="F71">
        <f t="shared" si="12"/>
        <v>0</v>
      </c>
      <c r="G71">
        <f>VLOOKUP(D71,Špajz!B:D,2,FALSE)</f>
        <v>0</v>
      </c>
    </row>
    <row r="72" spans="1:8" x14ac:dyDescent="0.3">
      <c r="A72" s="25" t="b">
        <v>0</v>
      </c>
      <c r="B72" s="26" t="s">
        <v>206</v>
      </c>
      <c r="C72" s="26">
        <v>4</v>
      </c>
      <c r="D72" t="s">
        <v>114</v>
      </c>
      <c r="E72">
        <v>142</v>
      </c>
      <c r="F72">
        <f t="shared" ref="F72:F77" si="13">IF(A$72=TRUE,E72*C$72,0)</f>
        <v>0</v>
      </c>
      <c r="G72">
        <f>VLOOKUP(D72,Špajz!B:D,2,FALSE)</f>
        <v>0</v>
      </c>
    </row>
    <row r="73" spans="1:8" x14ac:dyDescent="0.3">
      <c r="A73" s="25"/>
      <c r="B73" s="26"/>
      <c r="C73" s="26"/>
      <c r="D73" t="s">
        <v>45</v>
      </c>
      <c r="E73">
        <v>150</v>
      </c>
      <c r="F73">
        <f t="shared" si="13"/>
        <v>0</v>
      </c>
      <c r="G73">
        <f>VLOOKUP(D73,Špajz!B:D,2,FALSE)</f>
        <v>0</v>
      </c>
    </row>
    <row r="74" spans="1:8" x14ac:dyDescent="0.3">
      <c r="A74" s="25"/>
      <c r="B74" s="26"/>
      <c r="C74" s="26"/>
      <c r="D74" t="s">
        <v>104</v>
      </c>
      <c r="E74">
        <v>35</v>
      </c>
      <c r="F74">
        <f t="shared" si="13"/>
        <v>0</v>
      </c>
      <c r="G74">
        <f>VLOOKUP(D74,Špajz!B:D,2,FALSE)</f>
        <v>0</v>
      </c>
    </row>
    <row r="75" spans="1:8" x14ac:dyDescent="0.3">
      <c r="A75" s="25"/>
      <c r="B75" s="26"/>
      <c r="C75" s="26"/>
      <c r="D75" t="s">
        <v>36</v>
      </c>
      <c r="E75">
        <v>0.25</v>
      </c>
      <c r="F75">
        <f t="shared" si="13"/>
        <v>0</v>
      </c>
      <c r="G75">
        <f>VLOOKUP(D75,Špajz!B:D,2,FALSE)</f>
        <v>0</v>
      </c>
    </row>
    <row r="76" spans="1:8" x14ac:dyDescent="0.3">
      <c r="A76" s="25"/>
      <c r="B76" s="26"/>
      <c r="C76" s="26"/>
      <c r="D76" t="s">
        <v>93</v>
      </c>
      <c r="E76">
        <v>10</v>
      </c>
      <c r="F76">
        <f t="shared" si="13"/>
        <v>0</v>
      </c>
      <c r="G76">
        <f>VLOOKUP(D76,Špajz!B:D,2,FALSE)</f>
        <v>0</v>
      </c>
    </row>
    <row r="77" spans="1:8" x14ac:dyDescent="0.3">
      <c r="A77" s="25"/>
      <c r="B77" s="26"/>
      <c r="C77" s="26"/>
      <c r="D77" t="s">
        <v>21</v>
      </c>
      <c r="E77">
        <v>0.5</v>
      </c>
      <c r="F77">
        <f t="shared" si="13"/>
        <v>0</v>
      </c>
      <c r="G77">
        <f>VLOOKUP(D77,Špajz!B:D,2,FALSE)</f>
        <v>0</v>
      </c>
    </row>
    <row r="78" spans="1:8" x14ac:dyDescent="0.3">
      <c r="A78" s="25" t="b">
        <v>0</v>
      </c>
      <c r="B78" s="26" t="s">
        <v>196</v>
      </c>
      <c r="C78" s="26">
        <v>1</v>
      </c>
      <c r="D78" t="s">
        <v>111</v>
      </c>
      <c r="E78">
        <v>0.5</v>
      </c>
      <c r="F78">
        <f>IF(A$78=TRUE,E78*C$78,0)</f>
        <v>0</v>
      </c>
      <c r="G78">
        <f>VLOOKUP(D78,Špajz!B:D,2,FALSE)</f>
        <v>0</v>
      </c>
    </row>
    <row r="79" spans="1:8" x14ac:dyDescent="0.3">
      <c r="A79" s="25"/>
      <c r="B79" s="26"/>
      <c r="C79" s="26"/>
      <c r="D79" t="s">
        <v>66</v>
      </c>
      <c r="E79">
        <v>50</v>
      </c>
      <c r="F79">
        <f>IF(A$78=TRUE,E79*C$78,0)</f>
        <v>0</v>
      </c>
      <c r="G79">
        <f>VLOOKUP(D79,Špajz!B:D,2,FALSE)</f>
        <v>0</v>
      </c>
      <c r="H79" s="4" t="s">
        <v>197</v>
      </c>
    </row>
    <row r="80" spans="1:8" x14ac:dyDescent="0.3">
      <c r="A80" s="25"/>
      <c r="B80" s="26"/>
      <c r="C80" s="26"/>
      <c r="E80">
        <v>0.5</v>
      </c>
      <c r="F80">
        <f>IF(A$78=TRUE,E80*C$78,0)</f>
        <v>0</v>
      </c>
      <c r="G80" t="e">
        <f>VLOOKUP(D80,Špajz!B:D,2,FALSE)</f>
        <v>#N/A</v>
      </c>
    </row>
    <row r="81" spans="1:7" x14ac:dyDescent="0.3">
      <c r="A81" s="25"/>
      <c r="B81" s="26"/>
      <c r="C81" s="26"/>
      <c r="D81" t="s">
        <v>21</v>
      </c>
      <c r="E81">
        <v>0.5</v>
      </c>
      <c r="F81">
        <f>IF(A$78=TRUE,E81*C$78,0)</f>
        <v>0</v>
      </c>
      <c r="G81" t="e">
        <f>VLOOKUP(#REF!,Špajz!B:D,2,FALSE)</f>
        <v>#REF!</v>
      </c>
    </row>
    <row r="82" spans="1:7" x14ac:dyDescent="0.3">
      <c r="A82" s="25"/>
      <c r="B82" s="26"/>
      <c r="C82" s="26"/>
      <c r="G82">
        <f>VLOOKUP(D81,Špajz!B:D,2,FALSE)</f>
        <v>0</v>
      </c>
    </row>
    <row r="83" spans="1:7" x14ac:dyDescent="0.3">
      <c r="A83" s="25" t="b">
        <v>0</v>
      </c>
      <c r="B83" s="26" t="s">
        <v>263</v>
      </c>
      <c r="C83" s="26">
        <v>4</v>
      </c>
      <c r="D83" t="s">
        <v>104</v>
      </c>
      <c r="E83">
        <v>0.5</v>
      </c>
      <c r="F83">
        <f>IF(A$83=TRUE,E83*C$83,0)</f>
        <v>0</v>
      </c>
    </row>
    <row r="84" spans="1:7" x14ac:dyDescent="0.3">
      <c r="A84" s="25"/>
      <c r="B84" s="26"/>
      <c r="C84" s="26"/>
      <c r="D84" t="s">
        <v>21</v>
      </c>
      <c r="E84">
        <v>0.5</v>
      </c>
      <c r="F84">
        <f t="shared" ref="F84:F86" si="14">IF(A$83=TRUE,E84*C$83,0)</f>
        <v>0</v>
      </c>
    </row>
    <row r="85" spans="1:7" x14ac:dyDescent="0.3">
      <c r="A85" s="25"/>
      <c r="B85" s="26"/>
      <c r="C85" s="26"/>
      <c r="D85" t="s">
        <v>221</v>
      </c>
      <c r="E85">
        <v>150</v>
      </c>
      <c r="F85">
        <f t="shared" si="14"/>
        <v>0</v>
      </c>
    </row>
    <row r="86" spans="1:7" x14ac:dyDescent="0.3">
      <c r="A86" s="25"/>
      <c r="B86" s="26"/>
      <c r="C86" s="26"/>
      <c r="D86" t="s">
        <v>17</v>
      </c>
      <c r="E86">
        <v>50</v>
      </c>
      <c r="F86">
        <f t="shared" si="14"/>
        <v>0</v>
      </c>
    </row>
    <row r="87" spans="1:7" x14ac:dyDescent="0.3">
      <c r="A87" s="25" t="b">
        <v>1</v>
      </c>
      <c r="B87" s="26" t="s">
        <v>204</v>
      </c>
      <c r="C87" s="26">
        <v>4</v>
      </c>
      <c r="D87" t="s">
        <v>47</v>
      </c>
      <c r="E87">
        <v>150</v>
      </c>
      <c r="F87">
        <f>IF(A$87=TRUE,E87*C$87,0)</f>
        <v>600</v>
      </c>
    </row>
    <row r="88" spans="1:7" x14ac:dyDescent="0.3">
      <c r="A88" s="25"/>
      <c r="B88" s="26"/>
      <c r="C88" s="26"/>
      <c r="D88" t="s">
        <v>79</v>
      </c>
      <c r="E88">
        <v>0.5</v>
      </c>
      <c r="F88">
        <f>IF(A$87=TRUE,E88*C$87,0)</f>
        <v>2</v>
      </c>
    </row>
    <row r="89" spans="1:7" x14ac:dyDescent="0.3">
      <c r="A89" s="25"/>
      <c r="B89" s="26"/>
      <c r="C89" s="26"/>
      <c r="D89" t="s">
        <v>103</v>
      </c>
      <c r="E89">
        <v>0.5</v>
      </c>
      <c r="F89">
        <f>IF(A$87=TRUE,E89*C$87,0)</f>
        <v>2</v>
      </c>
    </row>
    <row r="90" spans="1:7" x14ac:dyDescent="0.3">
      <c r="A90" s="25"/>
      <c r="B90" s="26"/>
      <c r="C90" s="26"/>
      <c r="D90" t="s">
        <v>21</v>
      </c>
      <c r="E90">
        <v>0.5</v>
      </c>
      <c r="F90">
        <f>IF(A$87=TRUE,E90*C$87,0)</f>
        <v>2</v>
      </c>
    </row>
    <row r="91" spans="1:7" x14ac:dyDescent="0.3">
      <c r="A91" s="25"/>
      <c r="B91" s="26"/>
      <c r="C91" s="26"/>
      <c r="D91" t="s">
        <v>104</v>
      </c>
      <c r="E91">
        <v>35</v>
      </c>
      <c r="F91">
        <f>IF(A$87=TRUE,E91*C$87,0)</f>
        <v>140</v>
      </c>
    </row>
    <row r="92" spans="1:7" x14ac:dyDescent="0.3">
      <c r="A92" s="25"/>
      <c r="B92" s="26"/>
      <c r="C92" s="26"/>
      <c r="D92" t="s">
        <v>29</v>
      </c>
      <c r="E92">
        <v>0.5</v>
      </c>
      <c r="F92">
        <f>IF(A$87=TRUE,E92*C$87,0)</f>
        <v>2</v>
      </c>
    </row>
    <row r="93" spans="1:7" x14ac:dyDescent="0.3">
      <c r="A93" s="24" t="b">
        <v>0</v>
      </c>
      <c r="B93" s="11"/>
      <c r="C93" s="11"/>
    </row>
    <row r="94" spans="1:7" x14ac:dyDescent="0.3">
      <c r="A94" s="24" t="b">
        <v>0</v>
      </c>
      <c r="B94" s="11"/>
      <c r="C94" s="11"/>
    </row>
    <row r="95" spans="1:7" hidden="1" x14ac:dyDescent="0.3">
      <c r="A95" s="25" t="b">
        <v>0</v>
      </c>
      <c r="B95" s="26" t="s">
        <v>193</v>
      </c>
      <c r="C95" s="26">
        <v>1</v>
      </c>
      <c r="D95" t="s">
        <v>50</v>
      </c>
      <c r="E95">
        <v>200</v>
      </c>
      <c r="F95">
        <f>IF(A$95=TRUE,E95*C$95,0)</f>
        <v>0</v>
      </c>
      <c r="G95">
        <f>VLOOKUP(D95,Špajz!B:D,2,FALSE)</f>
        <v>0</v>
      </c>
    </row>
    <row r="96" spans="1:7" hidden="1" x14ac:dyDescent="0.3">
      <c r="A96" s="25"/>
      <c r="B96" s="26"/>
      <c r="C96" s="26"/>
      <c r="D96" t="s">
        <v>57</v>
      </c>
      <c r="E96">
        <v>200</v>
      </c>
      <c r="F96">
        <f>IF(A$95=TRUE,E96*C$95,0)</f>
        <v>0</v>
      </c>
      <c r="G96">
        <f>VLOOKUP(D96,Špajz!B:D,2,FALSE)</f>
        <v>0</v>
      </c>
    </row>
    <row r="97" spans="1:8" hidden="1" x14ac:dyDescent="0.3">
      <c r="A97" s="25"/>
      <c r="B97" s="26"/>
      <c r="C97" s="26"/>
      <c r="D97" t="s">
        <v>91</v>
      </c>
      <c r="E97">
        <v>500</v>
      </c>
      <c r="F97">
        <f>IF(A$95=TRUE,E97*C$95,0)</f>
        <v>0</v>
      </c>
      <c r="G97">
        <f>VLOOKUP(D97,Špajz!B:D,2,FALSE)</f>
        <v>0</v>
      </c>
    </row>
    <row r="98" spans="1:8" hidden="1" x14ac:dyDescent="0.3">
      <c r="A98" s="25"/>
      <c r="B98" s="26"/>
      <c r="C98" s="26"/>
      <c r="D98" t="s">
        <v>59</v>
      </c>
      <c r="E98">
        <v>250</v>
      </c>
      <c r="F98">
        <f>IF(A$95=TRUE,E98*C$95,0)</f>
        <v>0</v>
      </c>
      <c r="G98">
        <f>VLOOKUP(D98,Špajz!B:D,2,FALSE)</f>
        <v>0</v>
      </c>
    </row>
    <row r="99" spans="1:8" hidden="1" x14ac:dyDescent="0.3">
      <c r="A99" s="25"/>
      <c r="B99" s="26"/>
      <c r="C99" s="26"/>
      <c r="D99" t="s">
        <v>71</v>
      </c>
      <c r="E99">
        <v>1</v>
      </c>
      <c r="F99">
        <f>IF(A$95=TRUE,E99*C$95,0)</f>
        <v>0</v>
      </c>
      <c r="G99">
        <f>VLOOKUP(D99,Špajz!B:D,2,FALSE)</f>
        <v>0</v>
      </c>
    </row>
    <row r="100" spans="1:8" hidden="1" x14ac:dyDescent="0.3">
      <c r="A100" s="25" t="b">
        <v>0</v>
      </c>
      <c r="B100" s="26" t="s">
        <v>194</v>
      </c>
      <c r="C100" s="26">
        <v>1</v>
      </c>
      <c r="D100" t="s">
        <v>40</v>
      </c>
      <c r="E100">
        <v>400</v>
      </c>
      <c r="F100">
        <f>IF(A$100=TRUE,E100*C$100,0)</f>
        <v>0</v>
      </c>
      <c r="G100">
        <f>VLOOKUP(D100,Špajz!B:D,2,FALSE)</f>
        <v>0</v>
      </c>
      <c r="H100" s="4" t="s">
        <v>195</v>
      </c>
    </row>
    <row r="101" spans="1:8" hidden="1" x14ac:dyDescent="0.3">
      <c r="A101" s="25"/>
      <c r="B101" s="26"/>
      <c r="C101" s="26"/>
      <c r="D101" t="s">
        <v>17</v>
      </c>
      <c r="E101">
        <v>4</v>
      </c>
      <c r="F101">
        <f>IF(A$100=TRUE,E101*C$100,0)</f>
        <v>0</v>
      </c>
      <c r="G101">
        <f>VLOOKUP(D101,Špajz!B:D,2,FALSE)</f>
        <v>0</v>
      </c>
    </row>
    <row r="102" spans="1:8" hidden="1" x14ac:dyDescent="0.3">
      <c r="A102" s="25"/>
      <c r="B102" s="26"/>
      <c r="C102" s="26"/>
      <c r="D102" t="s">
        <v>27</v>
      </c>
      <c r="E102">
        <v>3</v>
      </c>
      <c r="F102">
        <f>IF(A$100=TRUE,E102*C$100,0)</f>
        <v>0</v>
      </c>
      <c r="G102">
        <f>VLOOKUP(D102,Špajz!B:D,2,FALSE)</f>
        <v>0</v>
      </c>
    </row>
    <row r="103" spans="1:8" hidden="1" x14ac:dyDescent="0.3">
      <c r="A103" s="25"/>
      <c r="B103" s="26"/>
      <c r="C103" s="26"/>
      <c r="D103" t="s">
        <v>104</v>
      </c>
      <c r="E103">
        <v>1</v>
      </c>
      <c r="F103">
        <f>IF(A$100=TRUE,E103*C$100,0)</f>
        <v>0</v>
      </c>
      <c r="G103">
        <f>VLOOKUP(D103,Špajz!B:D,2,FALSE)</f>
        <v>0</v>
      </c>
    </row>
    <row r="104" spans="1:8" hidden="1" x14ac:dyDescent="0.3">
      <c r="A104" s="25"/>
      <c r="B104" s="26"/>
      <c r="C104" s="26"/>
      <c r="D104" t="s">
        <v>21</v>
      </c>
      <c r="E104">
        <v>2</v>
      </c>
      <c r="F104">
        <f>IF(A$100=TRUE,E104*C$100,0)</f>
        <v>0</v>
      </c>
      <c r="G104">
        <f>VLOOKUP(D104,Špajz!B:D,2,FALSE)</f>
        <v>0</v>
      </c>
    </row>
    <row r="105" spans="1:8" hidden="1" x14ac:dyDescent="0.3"/>
    <row r="106" spans="1:8" hidden="1" x14ac:dyDescent="0.3"/>
    <row r="107" spans="1:8" hidden="1" x14ac:dyDescent="0.3"/>
    <row r="108" spans="1:8" hidden="1" x14ac:dyDescent="0.3"/>
    <row r="109" spans="1:8" hidden="1" x14ac:dyDescent="0.3"/>
    <row r="110" spans="1:8" hidden="1" x14ac:dyDescent="0.3"/>
    <row r="111" spans="1:8" hidden="1" x14ac:dyDescent="0.3"/>
    <row r="112" spans="1:8" hidden="1" x14ac:dyDescent="0.3"/>
    <row r="113" spans="1:8" hidden="1" x14ac:dyDescent="0.3">
      <c r="A113" s="25" t="b">
        <v>0</v>
      </c>
      <c r="B113" s="26" t="s">
        <v>198</v>
      </c>
      <c r="C113" s="26">
        <v>1</v>
      </c>
      <c r="D113" t="s">
        <v>71</v>
      </c>
      <c r="E113">
        <v>3</v>
      </c>
      <c r="F113">
        <f>IF(A$113=TRUE,E113*C$113,0)</f>
        <v>0</v>
      </c>
      <c r="G113">
        <f>VLOOKUP(D113,Špajz!B:D,2,FALSE)</f>
        <v>0</v>
      </c>
      <c r="H113" s="4" t="s">
        <v>199</v>
      </c>
    </row>
    <row r="114" spans="1:8" hidden="1" x14ac:dyDescent="0.3">
      <c r="A114" s="25"/>
      <c r="B114" s="26"/>
      <c r="C114" s="26"/>
      <c r="D114" t="s">
        <v>26</v>
      </c>
      <c r="E114">
        <v>0.2</v>
      </c>
      <c r="F114">
        <f t="shared" ref="F114:F115" si="15">IF(A$113=TRUE,E114*C$113,0)</f>
        <v>0</v>
      </c>
      <c r="G114">
        <f>VLOOKUP(D114,Špajz!B:D,2,FALSE)</f>
        <v>0</v>
      </c>
    </row>
    <row r="115" spans="1:8" hidden="1" x14ac:dyDescent="0.3">
      <c r="A115" s="25"/>
      <c r="B115" s="26"/>
      <c r="C115" s="26"/>
      <c r="D115" t="s">
        <v>67</v>
      </c>
      <c r="E115">
        <v>40</v>
      </c>
      <c r="F115">
        <f t="shared" si="15"/>
        <v>0</v>
      </c>
      <c r="G115">
        <f>VLOOKUP(D115,Špajz!B:D,2,FALSE)</f>
        <v>0</v>
      </c>
    </row>
    <row r="116" spans="1:8" hidden="1" x14ac:dyDescent="0.3">
      <c r="A116" s="25" t="b">
        <v>0</v>
      </c>
      <c r="B116" s="26" t="s">
        <v>200</v>
      </c>
      <c r="C116" s="26">
        <v>1</v>
      </c>
      <c r="D116" t="s">
        <v>51</v>
      </c>
      <c r="E116">
        <v>400</v>
      </c>
      <c r="F116">
        <f t="shared" ref="F116:F123" si="16">IF(A$116=TRUE,E116*C$116,0)</f>
        <v>0</v>
      </c>
      <c r="G116">
        <f>VLOOKUP(D116,Špajz!B:D,2,FALSE)</f>
        <v>0</v>
      </c>
      <c r="H116" s="4" t="s">
        <v>201</v>
      </c>
    </row>
    <row r="117" spans="1:8" hidden="1" x14ac:dyDescent="0.3">
      <c r="A117" s="25"/>
      <c r="B117" s="26"/>
      <c r="C117" s="26"/>
      <c r="D117" t="s">
        <v>113</v>
      </c>
      <c r="E117">
        <v>100</v>
      </c>
      <c r="F117">
        <f t="shared" si="16"/>
        <v>0</v>
      </c>
      <c r="G117">
        <f>VLOOKUP(D117,Špajz!B:D,2,FALSE)</f>
        <v>0</v>
      </c>
    </row>
    <row r="118" spans="1:8" hidden="1" x14ac:dyDescent="0.3">
      <c r="A118" s="25"/>
      <c r="B118" s="26"/>
      <c r="C118" s="26"/>
      <c r="D118" t="s">
        <v>36</v>
      </c>
      <c r="E118">
        <v>1</v>
      </c>
      <c r="F118">
        <f t="shared" si="16"/>
        <v>0</v>
      </c>
      <c r="G118">
        <f>VLOOKUP(D118,Špajz!B:D,2,FALSE)</f>
        <v>0</v>
      </c>
    </row>
    <row r="119" spans="1:8" hidden="1" x14ac:dyDescent="0.3">
      <c r="A119" s="25"/>
      <c r="B119" s="26"/>
      <c r="C119" s="26"/>
      <c r="D119" t="s">
        <v>26</v>
      </c>
      <c r="E119">
        <v>0.8</v>
      </c>
      <c r="F119">
        <f t="shared" si="16"/>
        <v>0</v>
      </c>
      <c r="G119">
        <f>VLOOKUP(D119,Špajz!B:D,2,FALSE)</f>
        <v>0</v>
      </c>
    </row>
    <row r="120" spans="1:8" hidden="1" x14ac:dyDescent="0.3">
      <c r="A120" s="25"/>
      <c r="B120" s="26"/>
      <c r="C120" s="26"/>
      <c r="D120" t="s">
        <v>27</v>
      </c>
      <c r="E120">
        <v>2</v>
      </c>
      <c r="F120">
        <f t="shared" si="16"/>
        <v>0</v>
      </c>
      <c r="G120">
        <f>VLOOKUP(D120,Špajz!B:D,2,FALSE)</f>
        <v>0</v>
      </c>
    </row>
    <row r="121" spans="1:8" hidden="1" x14ac:dyDescent="0.3">
      <c r="A121" s="25"/>
      <c r="B121" s="26"/>
      <c r="C121" s="26"/>
      <c r="D121" t="s">
        <v>71</v>
      </c>
      <c r="E121">
        <v>2</v>
      </c>
      <c r="F121">
        <f t="shared" si="16"/>
        <v>0</v>
      </c>
      <c r="G121">
        <f>VLOOKUP(D121,Špajz!B:D,2,FALSE)</f>
        <v>0</v>
      </c>
    </row>
    <row r="122" spans="1:8" hidden="1" x14ac:dyDescent="0.3">
      <c r="A122" s="25"/>
      <c r="B122" s="26"/>
      <c r="C122" s="26"/>
      <c r="D122" t="s">
        <v>115</v>
      </c>
      <c r="E122">
        <v>200</v>
      </c>
      <c r="F122">
        <f t="shared" si="16"/>
        <v>0</v>
      </c>
      <c r="G122">
        <f>VLOOKUP(D122,Špajz!B:D,2,FALSE)</f>
        <v>0</v>
      </c>
    </row>
    <row r="123" spans="1:8" hidden="1" x14ac:dyDescent="0.3">
      <c r="A123" s="25"/>
      <c r="B123" s="26"/>
      <c r="C123" s="26"/>
      <c r="D123" t="s">
        <v>21</v>
      </c>
      <c r="E123">
        <v>0.5</v>
      </c>
      <c r="F123">
        <f t="shared" si="16"/>
        <v>0</v>
      </c>
      <c r="G123">
        <f>VLOOKUP(D123,Špajz!B:D,2,FALSE)</f>
        <v>0</v>
      </c>
    </row>
    <row r="124" spans="1:8" hidden="1" x14ac:dyDescent="0.3">
      <c r="A124" s="25" t="b">
        <v>0</v>
      </c>
      <c r="B124" s="26" t="s">
        <v>202</v>
      </c>
      <c r="C124" s="26">
        <v>1</v>
      </c>
      <c r="D124" t="s">
        <v>46</v>
      </c>
      <c r="E124">
        <v>400</v>
      </c>
      <c r="F124">
        <f>IF(A$124=TRUE,E124*C$124,0)</f>
        <v>0</v>
      </c>
      <c r="G124">
        <f>VLOOKUP(D124,Špajz!B:D,2,FALSE)</f>
        <v>0</v>
      </c>
    </row>
    <row r="125" spans="1:8" hidden="1" x14ac:dyDescent="0.3">
      <c r="A125" s="25"/>
      <c r="B125" s="26"/>
      <c r="C125" s="26"/>
      <c r="D125" t="s">
        <v>22</v>
      </c>
      <c r="E125">
        <v>0.2</v>
      </c>
      <c r="F125">
        <f>IF(A$124=TRUE,E125*C$124,0)</f>
        <v>0</v>
      </c>
      <c r="G125">
        <f>VLOOKUP(D125,Špajz!B:D,2,FALSE)</f>
        <v>0</v>
      </c>
    </row>
    <row r="126" spans="1:8" hidden="1" x14ac:dyDescent="0.3">
      <c r="A126" s="25"/>
      <c r="B126" s="26"/>
      <c r="C126" s="26"/>
      <c r="D126" t="s">
        <v>23</v>
      </c>
      <c r="E126">
        <v>200</v>
      </c>
      <c r="F126">
        <f>IF(A$124=TRUE,E126*C$124,0)</f>
        <v>0</v>
      </c>
      <c r="G126">
        <f>VLOOKUP(D126,Špajz!B:D,2,FALSE)</f>
        <v>0</v>
      </c>
    </row>
    <row r="127" spans="1:8" hidden="1" x14ac:dyDescent="0.3">
      <c r="A127" s="25" t="b">
        <v>0</v>
      </c>
      <c r="B127" s="26" t="s">
        <v>203</v>
      </c>
      <c r="C127" s="26">
        <v>1</v>
      </c>
      <c r="D127" t="s">
        <v>45</v>
      </c>
      <c r="E127">
        <v>300</v>
      </c>
      <c r="F127">
        <f>IF(A$127=TRUE,E127*C$127,0)</f>
        <v>0</v>
      </c>
      <c r="G127">
        <f>VLOOKUP(D127,Špajz!B:D,2,FALSE)</f>
        <v>0</v>
      </c>
    </row>
    <row r="128" spans="1:8" hidden="1" x14ac:dyDescent="0.3">
      <c r="A128" s="25"/>
      <c r="B128" s="26"/>
      <c r="C128" s="26"/>
      <c r="D128" t="s">
        <v>68</v>
      </c>
      <c r="E128">
        <v>200</v>
      </c>
      <c r="F128">
        <f>IF(A$127=TRUE,E128*C$127,0)</f>
        <v>0</v>
      </c>
      <c r="G128">
        <f>VLOOKUP(D128,Špajz!B:D,2,FALSE)</f>
        <v>0</v>
      </c>
    </row>
    <row r="129" spans="1:7" hidden="1" x14ac:dyDescent="0.3">
      <c r="A129" s="25"/>
      <c r="B129" s="26"/>
      <c r="C129" s="26"/>
      <c r="D129" t="s">
        <v>21</v>
      </c>
      <c r="E129">
        <v>1</v>
      </c>
      <c r="F129">
        <f>IF(A$127=TRUE,E129*C$127,0)</f>
        <v>0</v>
      </c>
      <c r="G129">
        <f>VLOOKUP(D129,Špajz!B:D,2,FALSE)</f>
        <v>0</v>
      </c>
    </row>
    <row r="130" spans="1:7" hidden="1" x14ac:dyDescent="0.3">
      <c r="A130" s="25"/>
      <c r="B130" s="26"/>
      <c r="C130" s="26"/>
      <c r="D130" t="s">
        <v>31</v>
      </c>
      <c r="E130">
        <v>1</v>
      </c>
      <c r="F130">
        <f>IF(A$127=TRUE,E130*C$127,0)</f>
        <v>0</v>
      </c>
      <c r="G130">
        <f>VLOOKUP(D130,Špajz!B:D,2,FALSE)</f>
        <v>0</v>
      </c>
    </row>
    <row r="131" spans="1:7" hidden="1" x14ac:dyDescent="0.3">
      <c r="A131" s="25"/>
      <c r="B131" s="26"/>
      <c r="C131" s="26"/>
      <c r="D131" t="s">
        <v>126</v>
      </c>
      <c r="E131">
        <v>1</v>
      </c>
      <c r="F131">
        <f>IF(A$127=TRUE,E131*C$127,0)</f>
        <v>0</v>
      </c>
      <c r="G131">
        <f>VLOOKUP(D131,Špajz!B:D,2,FALSE)</f>
        <v>0</v>
      </c>
    </row>
    <row r="132" spans="1:7" hidden="1" x14ac:dyDescent="0.3">
      <c r="G132">
        <f>VLOOKUP(D87,Špajz!B:D,2,FALSE)</f>
        <v>0</v>
      </c>
    </row>
    <row r="133" spans="1:7" hidden="1" x14ac:dyDescent="0.3">
      <c r="G133">
        <f>VLOOKUP(D88,Špajz!B:D,2,FALSE)</f>
        <v>0</v>
      </c>
    </row>
    <row r="134" spans="1:7" hidden="1" x14ac:dyDescent="0.3">
      <c r="G134">
        <f>VLOOKUP(D89,Špajz!B:D,2,FALSE)</f>
        <v>0</v>
      </c>
    </row>
    <row r="135" spans="1:7" hidden="1" x14ac:dyDescent="0.3">
      <c r="G135">
        <f>VLOOKUP(D90,Špajz!B:D,2,FALSE)</f>
        <v>0</v>
      </c>
    </row>
    <row r="136" spans="1:7" hidden="1" x14ac:dyDescent="0.3">
      <c r="G136">
        <f>VLOOKUP(D91,Špajz!B:D,2,FALSE)</f>
        <v>0</v>
      </c>
    </row>
    <row r="137" spans="1:7" hidden="1" x14ac:dyDescent="0.3">
      <c r="G137">
        <f>VLOOKUP(D92,Špajz!B:D,2,FALSE)</f>
        <v>0</v>
      </c>
    </row>
    <row r="138" spans="1:7" ht="14.85" hidden="1" customHeight="1" x14ac:dyDescent="0.3">
      <c r="A138" s="25" t="b">
        <v>0</v>
      </c>
      <c r="B138" s="26" t="s">
        <v>210</v>
      </c>
      <c r="C138" s="26">
        <v>1</v>
      </c>
      <c r="D138" t="s">
        <v>12</v>
      </c>
      <c r="E138">
        <v>100</v>
      </c>
      <c r="F138">
        <f t="shared" ref="F138:F143" si="17">IF(A$138=TRUE,E138*C$138,0)</f>
        <v>0</v>
      </c>
      <c r="G138">
        <f>VLOOKUP(D138,Špajz!B:D,2,FALSE)</f>
        <v>0</v>
      </c>
    </row>
    <row r="139" spans="1:7" ht="14.85" hidden="1" customHeight="1" x14ac:dyDescent="0.3">
      <c r="A139" s="25"/>
      <c r="B139" s="26"/>
      <c r="C139" s="26"/>
      <c r="D139" t="s">
        <v>45</v>
      </c>
      <c r="E139">
        <v>100</v>
      </c>
      <c r="F139">
        <f t="shared" si="17"/>
        <v>0</v>
      </c>
      <c r="G139">
        <f>VLOOKUP(D139,Špajz!B:D,2,FALSE)</f>
        <v>0</v>
      </c>
    </row>
    <row r="140" spans="1:7" ht="14.85" hidden="1" customHeight="1" x14ac:dyDescent="0.3">
      <c r="A140" s="25"/>
      <c r="B140" s="26"/>
      <c r="C140" s="26"/>
      <c r="D140" t="s">
        <v>56</v>
      </c>
      <c r="E140">
        <v>100</v>
      </c>
      <c r="F140">
        <f t="shared" si="17"/>
        <v>0</v>
      </c>
      <c r="G140">
        <f>VLOOKUP(D140,Špajz!B:D,2,FALSE)</f>
        <v>0</v>
      </c>
    </row>
    <row r="141" spans="1:7" ht="14.85" hidden="1" customHeight="1" x14ac:dyDescent="0.3">
      <c r="A141" s="25"/>
      <c r="B141" s="26"/>
      <c r="C141" s="26"/>
      <c r="D141" t="s">
        <v>29</v>
      </c>
      <c r="E141">
        <v>100</v>
      </c>
      <c r="F141">
        <f t="shared" si="17"/>
        <v>0</v>
      </c>
      <c r="G141">
        <f>VLOOKUP(D141,Špajz!B:D,2,FALSE)</f>
        <v>0</v>
      </c>
    </row>
    <row r="142" spans="1:7" ht="14.85" hidden="1" customHeight="1" x14ac:dyDescent="0.3">
      <c r="A142" s="25"/>
      <c r="B142" s="26"/>
      <c r="C142" s="26"/>
      <c r="D142" t="s">
        <v>19</v>
      </c>
      <c r="E142">
        <v>100</v>
      </c>
      <c r="F142">
        <f t="shared" si="17"/>
        <v>0</v>
      </c>
      <c r="G142">
        <f>VLOOKUP(D142,Špajz!B:D,2,FALSE)</f>
        <v>0</v>
      </c>
    </row>
    <row r="143" spans="1:7" ht="14.85" hidden="1" customHeight="1" x14ac:dyDescent="0.3">
      <c r="A143" s="25"/>
      <c r="B143" s="26"/>
      <c r="C143" s="26"/>
      <c r="D143" t="s">
        <v>17</v>
      </c>
      <c r="E143">
        <v>100</v>
      </c>
      <c r="F143">
        <f t="shared" si="17"/>
        <v>0</v>
      </c>
      <c r="G143">
        <f>VLOOKUP(D143,Špajz!B:D,2,FALSE)</f>
        <v>0</v>
      </c>
    </row>
    <row r="144" spans="1:7" hidden="1" x14ac:dyDescent="0.3">
      <c r="A144" s="25" t="b">
        <v>0</v>
      </c>
      <c r="B144" s="26" t="s">
        <v>211</v>
      </c>
      <c r="C144" s="26">
        <v>1</v>
      </c>
      <c r="D144" t="s">
        <v>41</v>
      </c>
      <c r="E144">
        <v>100</v>
      </c>
      <c r="F144">
        <f>IF(A$144=TRUE,E144*C$144,0)</f>
        <v>0</v>
      </c>
      <c r="G144">
        <f>VLOOKUP(D144,Špajz!B:D,2,FALSE)</f>
        <v>0</v>
      </c>
    </row>
    <row r="145" spans="1:7" ht="14.85" hidden="1" customHeight="1" x14ac:dyDescent="0.3">
      <c r="A145" s="25"/>
      <c r="B145" s="26"/>
      <c r="C145" s="26"/>
      <c r="D145" t="s">
        <v>37</v>
      </c>
      <c r="E145">
        <v>100</v>
      </c>
      <c r="F145">
        <f>IF(A$144=TRUE,E145*C$144,0)</f>
        <v>0</v>
      </c>
      <c r="G145">
        <f>VLOOKUP(D145,Špajz!B:D,2,FALSE)</f>
        <v>0</v>
      </c>
    </row>
    <row r="146" spans="1:7" ht="14.85" hidden="1" customHeight="1" x14ac:dyDescent="0.3">
      <c r="A146" s="25"/>
      <c r="B146" s="26"/>
      <c r="C146" s="26"/>
      <c r="D146" t="s">
        <v>18</v>
      </c>
      <c r="E146">
        <v>100</v>
      </c>
      <c r="F146">
        <f>IF(A$144=TRUE,E146*C$144,0)</f>
        <v>0</v>
      </c>
      <c r="G146">
        <f>VLOOKUP(D146,Špajz!B:D,2,FALSE)</f>
        <v>0</v>
      </c>
    </row>
    <row r="147" spans="1:7" ht="14.85" hidden="1" customHeight="1" x14ac:dyDescent="0.3">
      <c r="A147" s="25"/>
      <c r="B147" s="26"/>
      <c r="C147" s="26"/>
      <c r="D147" t="s">
        <v>17</v>
      </c>
      <c r="E147">
        <v>100</v>
      </c>
      <c r="F147">
        <f>IF(A$144=TRUE,E147*C$144,0)</f>
        <v>0</v>
      </c>
      <c r="G147">
        <f>VLOOKUP(D147,Špajz!B:D,2,FALSE)</f>
        <v>0</v>
      </c>
    </row>
    <row r="148" spans="1:7" ht="25.8" x14ac:dyDescent="0.5">
      <c r="A148" s="6"/>
      <c r="B148" s="3" t="s">
        <v>219</v>
      </c>
      <c r="C148" s="3"/>
      <c r="D148" s="3"/>
      <c r="E148" s="3"/>
      <c r="F148" s="3"/>
      <c r="G148" s="3"/>
    </row>
    <row r="149" spans="1:7" x14ac:dyDescent="0.3">
      <c r="A149" s="25" t="b">
        <v>1</v>
      </c>
      <c r="B149" s="26" t="s">
        <v>216</v>
      </c>
      <c r="C149" s="26">
        <v>2</v>
      </c>
      <c r="D149" t="s">
        <v>230</v>
      </c>
      <c r="E149">
        <v>75</v>
      </c>
      <c r="F149">
        <f>IF(A$149=TRUE,E149*C$149,0)</f>
        <v>150</v>
      </c>
      <c r="G149">
        <f>VLOOKUP(D149,Špajz!B:D,2,FALSE)</f>
        <v>0</v>
      </c>
    </row>
    <row r="150" spans="1:7" x14ac:dyDescent="0.3">
      <c r="A150" s="25"/>
      <c r="B150" s="26"/>
      <c r="C150" s="26"/>
      <c r="D150" t="s">
        <v>27</v>
      </c>
      <c r="E150">
        <v>1</v>
      </c>
      <c r="F150">
        <f>IF(A$149=TRUE,E150*C$149,0)</f>
        <v>2</v>
      </c>
      <c r="G150">
        <f>VLOOKUP(D150,Špajz!B:D,2,FALSE)</f>
        <v>0</v>
      </c>
    </row>
    <row r="151" spans="1:7" x14ac:dyDescent="0.3">
      <c r="A151" s="25" t="b">
        <v>1</v>
      </c>
      <c r="B151" s="26" t="s">
        <v>231</v>
      </c>
      <c r="C151" s="26">
        <v>2</v>
      </c>
      <c r="D151" t="s">
        <v>15</v>
      </c>
      <c r="E151">
        <v>50</v>
      </c>
      <c r="F151">
        <f>IF(A$151=TRUE,E151*C$151,0)</f>
        <v>100</v>
      </c>
      <c r="G151">
        <f>VLOOKUP(D151,Špajz!B:D,2,FALSE)</f>
        <v>0</v>
      </c>
    </row>
    <row r="152" spans="1:7" x14ac:dyDescent="0.3">
      <c r="A152" s="25"/>
      <c r="B152" s="26"/>
      <c r="C152" s="26"/>
      <c r="D152" t="s">
        <v>14</v>
      </c>
      <c r="E152">
        <v>75</v>
      </c>
      <c r="F152">
        <f>IF(A$151=TRUE,E152*C$151,0)</f>
        <v>150</v>
      </c>
      <c r="G152">
        <f>VLOOKUP(D152,Špajz!B:D,2,FALSE)</f>
        <v>0</v>
      </c>
    </row>
    <row r="153" spans="1:7" x14ac:dyDescent="0.3">
      <c r="A153" s="25" t="b">
        <v>0</v>
      </c>
      <c r="B153" s="26" t="s">
        <v>232</v>
      </c>
      <c r="C153" s="26">
        <v>2</v>
      </c>
      <c r="D153" t="s">
        <v>31</v>
      </c>
      <c r="E153">
        <v>0.5</v>
      </c>
      <c r="F153">
        <f>IF(A$153=TRUE,E153*C$153,0)</f>
        <v>0</v>
      </c>
      <c r="G153">
        <f>VLOOKUP(D153,Špajz!B:D,2,FALSE)</f>
        <v>0</v>
      </c>
    </row>
    <row r="154" spans="1:7" x14ac:dyDescent="0.3">
      <c r="A154" s="25"/>
      <c r="B154" s="26"/>
      <c r="C154" s="26"/>
      <c r="D154" t="s">
        <v>28</v>
      </c>
      <c r="E154">
        <v>0.1</v>
      </c>
      <c r="F154">
        <f t="shared" ref="F154:F155" si="18">IF(A$153=TRUE,E154*C$153,0)</f>
        <v>0</v>
      </c>
      <c r="G154">
        <f>VLOOKUP(D154,Špajz!B:D,2,FALSE)</f>
        <v>0</v>
      </c>
    </row>
    <row r="155" spans="1:7" x14ac:dyDescent="0.3">
      <c r="A155" s="25"/>
      <c r="B155" s="26"/>
      <c r="C155" s="26"/>
      <c r="D155" t="s">
        <v>32</v>
      </c>
      <c r="E155">
        <v>0.25</v>
      </c>
      <c r="F155">
        <f t="shared" si="18"/>
        <v>0</v>
      </c>
      <c r="G155">
        <f>VLOOKUP(D155,Špajz!B:D,2,FALSE)</f>
        <v>0</v>
      </c>
    </row>
    <row r="156" spans="1:7" x14ac:dyDescent="0.3">
      <c r="A156" s="25" t="b">
        <v>0</v>
      </c>
      <c r="B156" s="26" t="s">
        <v>233</v>
      </c>
      <c r="C156" s="26">
        <v>2</v>
      </c>
      <c r="D156" t="s">
        <v>25</v>
      </c>
      <c r="E156">
        <v>0.5</v>
      </c>
      <c r="F156">
        <f>IF(A$156=TRUE,E156*C$156,0)</f>
        <v>0</v>
      </c>
      <c r="G156">
        <f>VLOOKUP(D156,Špajz!B:D,2,FALSE)</f>
        <v>0</v>
      </c>
    </row>
    <row r="157" spans="1:7" x14ac:dyDescent="0.3">
      <c r="A157" s="25"/>
      <c r="B157" s="26"/>
      <c r="C157" s="26"/>
      <c r="D157" t="s">
        <v>234</v>
      </c>
      <c r="E157">
        <v>75</v>
      </c>
      <c r="F157">
        <f>IF(A$156=TRUE,E157*C$156,0)</f>
        <v>0</v>
      </c>
      <c r="G157">
        <f>VLOOKUP(D157,Špajz!B:D,2,FALSE)</f>
        <v>0</v>
      </c>
    </row>
    <row r="158" spans="1:7" x14ac:dyDescent="0.3">
      <c r="A158" s="25" t="b">
        <v>1</v>
      </c>
      <c r="B158" s="26" t="s">
        <v>236</v>
      </c>
      <c r="C158" s="26">
        <v>2</v>
      </c>
      <c r="D158" t="s">
        <v>29</v>
      </c>
      <c r="E158">
        <v>0.5</v>
      </c>
      <c r="F158">
        <f>IF(A$158=TRUE,E158*C$158,0)</f>
        <v>1</v>
      </c>
      <c r="G158">
        <f>VLOOKUP(D158,Špajz!B:D,2,FALSE)</f>
        <v>0</v>
      </c>
    </row>
    <row r="159" spans="1:7" x14ac:dyDescent="0.3">
      <c r="A159" s="25"/>
      <c r="B159" s="26"/>
      <c r="C159" s="26"/>
      <c r="D159" t="s">
        <v>14</v>
      </c>
      <c r="E159">
        <v>50</v>
      </c>
      <c r="F159">
        <f t="shared" ref="F159:F161" si="19">IF(A$158=TRUE,E159*C$158,0)</f>
        <v>100</v>
      </c>
      <c r="G159">
        <f>VLOOKUP(D159,Špajz!B:D,2,FALSE)</f>
        <v>0</v>
      </c>
    </row>
    <row r="160" spans="1:7" x14ac:dyDescent="0.3">
      <c r="A160" s="25"/>
      <c r="B160" s="26"/>
      <c r="C160" s="26"/>
      <c r="D160" t="s">
        <v>28</v>
      </c>
      <c r="E160">
        <v>0.1</v>
      </c>
      <c r="F160">
        <f t="shared" si="19"/>
        <v>0.2</v>
      </c>
      <c r="G160">
        <f>VLOOKUP(D160,Špajz!B:D,2,FALSE)</f>
        <v>0</v>
      </c>
    </row>
    <row r="161" spans="1:7" x14ac:dyDescent="0.3">
      <c r="A161" s="25"/>
      <c r="B161" s="26"/>
      <c r="C161" s="26"/>
      <c r="D161" t="s">
        <v>237</v>
      </c>
      <c r="E161">
        <v>15</v>
      </c>
      <c r="F161">
        <f t="shared" si="19"/>
        <v>30</v>
      </c>
      <c r="G161">
        <f>VLOOKUP(D161,Špajz!B:D,2,FALSE)</f>
        <v>0</v>
      </c>
    </row>
    <row r="163" spans="1:7" ht="25.8" x14ac:dyDescent="0.5">
      <c r="A163" s="6"/>
      <c r="B163" s="3" t="s">
        <v>238</v>
      </c>
      <c r="C163" s="3"/>
      <c r="D163" s="3"/>
      <c r="E163" s="3"/>
      <c r="F163">
        <f t="shared" ref="F163" si="20">IF(A$26=TRUE,E163*C$26,0)</f>
        <v>0</v>
      </c>
    </row>
    <row r="164" spans="1:7" x14ac:dyDescent="0.3">
      <c r="A164" s="5" t="b">
        <v>0</v>
      </c>
      <c r="B164" s="12" t="s">
        <v>115</v>
      </c>
      <c r="C164" s="11">
        <v>1</v>
      </c>
      <c r="D164" t="s">
        <v>115</v>
      </c>
      <c r="E164">
        <v>1</v>
      </c>
      <c r="F164">
        <f>IF(A164=TRUE,E164*C164,0)</f>
        <v>0</v>
      </c>
      <c r="G164">
        <f>VLOOKUP(D164,Špajz!B:D,2,FALSE)</f>
        <v>0</v>
      </c>
    </row>
    <row r="165" spans="1:7" x14ac:dyDescent="0.3">
      <c r="A165" s="5" t="b">
        <v>0</v>
      </c>
      <c r="B165" s="12" t="s">
        <v>223</v>
      </c>
      <c r="C165" s="11">
        <v>1</v>
      </c>
      <c r="D165" t="s">
        <v>223</v>
      </c>
      <c r="E165">
        <v>1</v>
      </c>
      <c r="F165">
        <f t="shared" ref="F165:F173" si="21">IF(A165=TRUE,E165*C165,0)</f>
        <v>0</v>
      </c>
      <c r="G165">
        <f>VLOOKUP(D165,Špajz!B:D,2,FALSE)</f>
        <v>0</v>
      </c>
    </row>
    <row r="166" spans="1:7" x14ac:dyDescent="0.3">
      <c r="A166" s="5" t="b">
        <v>0</v>
      </c>
      <c r="B166" s="12" t="s">
        <v>225</v>
      </c>
      <c r="C166" s="11">
        <v>1</v>
      </c>
      <c r="D166" t="s">
        <v>120</v>
      </c>
      <c r="E166">
        <v>1</v>
      </c>
      <c r="F166">
        <f t="shared" si="21"/>
        <v>0</v>
      </c>
      <c r="G166">
        <f>VLOOKUP(D166,Špajz!B:D,2,FALSE)</f>
        <v>0</v>
      </c>
    </row>
    <row r="167" spans="1:7" x14ac:dyDescent="0.3">
      <c r="A167" s="5" t="b">
        <v>0</v>
      </c>
      <c r="B167" s="12" t="s">
        <v>227</v>
      </c>
      <c r="C167" s="11">
        <v>1</v>
      </c>
      <c r="D167" t="s">
        <v>245</v>
      </c>
      <c r="E167">
        <v>1</v>
      </c>
      <c r="F167">
        <f t="shared" si="21"/>
        <v>0</v>
      </c>
      <c r="G167">
        <f>VLOOKUP(D167,Špajz!B:D,2,FALSE)</f>
        <v>0</v>
      </c>
    </row>
    <row r="168" spans="1:7" x14ac:dyDescent="0.3">
      <c r="A168" s="5" t="b">
        <v>0</v>
      </c>
      <c r="B168" s="12" t="s">
        <v>67</v>
      </c>
      <c r="C168" s="11">
        <v>1</v>
      </c>
      <c r="D168" t="s">
        <v>67</v>
      </c>
      <c r="E168">
        <v>1</v>
      </c>
      <c r="F168">
        <f t="shared" si="21"/>
        <v>0</v>
      </c>
      <c r="G168">
        <f>VLOOKUP(D168,Špajz!B:D,2,FALSE)</f>
        <v>0</v>
      </c>
    </row>
    <row r="169" spans="1:7" x14ac:dyDescent="0.3">
      <c r="A169" s="5" t="b">
        <v>0</v>
      </c>
      <c r="B169" s="12" t="s">
        <v>228</v>
      </c>
      <c r="C169" s="11">
        <v>1</v>
      </c>
      <c r="D169" t="s">
        <v>246</v>
      </c>
      <c r="E169">
        <v>1</v>
      </c>
      <c r="F169">
        <f t="shared" si="21"/>
        <v>0</v>
      </c>
      <c r="G169">
        <f>VLOOKUP(D169,Špajz!B:D,2,FALSE)</f>
        <v>0</v>
      </c>
    </row>
    <row r="170" spans="1:7" x14ac:dyDescent="0.3">
      <c r="A170" s="5" t="b">
        <v>1</v>
      </c>
      <c r="B170" s="12" t="s">
        <v>218</v>
      </c>
      <c r="C170" s="11">
        <v>1</v>
      </c>
      <c r="D170" t="s">
        <v>218</v>
      </c>
      <c r="E170">
        <v>1</v>
      </c>
      <c r="F170">
        <f t="shared" si="21"/>
        <v>1</v>
      </c>
      <c r="G170">
        <f>VLOOKUP(D170,Špajz!B:D,2,FALSE)</f>
        <v>0</v>
      </c>
    </row>
    <row r="171" spans="1:7" x14ac:dyDescent="0.3">
      <c r="A171" s="5" t="b">
        <v>0</v>
      </c>
      <c r="B171" s="12" t="s">
        <v>20</v>
      </c>
      <c r="C171" s="11">
        <v>1</v>
      </c>
      <c r="D171" t="s">
        <v>20</v>
      </c>
      <c r="E171">
        <v>1</v>
      </c>
      <c r="F171">
        <f t="shared" si="21"/>
        <v>0</v>
      </c>
      <c r="G171">
        <f>VLOOKUP(D171,Špajz!B:D,2,FALSE)</f>
        <v>0</v>
      </c>
    </row>
    <row r="172" spans="1:7" x14ac:dyDescent="0.3">
      <c r="A172" s="5" t="b">
        <v>0</v>
      </c>
      <c r="B172" s="12" t="s">
        <v>235</v>
      </c>
      <c r="C172" s="11">
        <v>1</v>
      </c>
      <c r="D172" t="s">
        <v>12</v>
      </c>
      <c r="E172">
        <v>1</v>
      </c>
      <c r="F172">
        <f t="shared" si="21"/>
        <v>0</v>
      </c>
      <c r="G172">
        <f>VLOOKUP(D172,Špajz!B:D,2,FALSE)</f>
        <v>0</v>
      </c>
    </row>
    <row r="173" spans="1:7" x14ac:dyDescent="0.3">
      <c r="A173" s="5" t="b">
        <v>0</v>
      </c>
      <c r="B173" s="12" t="s">
        <v>239</v>
      </c>
      <c r="C173" s="11">
        <v>1</v>
      </c>
      <c r="D173" t="s">
        <v>45</v>
      </c>
      <c r="E173">
        <v>400</v>
      </c>
      <c r="F173">
        <f t="shared" si="21"/>
        <v>0</v>
      </c>
      <c r="G173">
        <f>VLOOKUP(D173,Špajz!B:D,2,FALSE)</f>
        <v>0</v>
      </c>
    </row>
    <row r="174" spans="1:7" x14ac:dyDescent="0.3">
      <c r="A174" s="28" t="b">
        <v>0</v>
      </c>
      <c r="B174" s="27" t="s">
        <v>240</v>
      </c>
      <c r="C174" s="27">
        <v>1</v>
      </c>
      <c r="D174" s="22" t="s">
        <v>241</v>
      </c>
      <c r="E174" s="22">
        <v>40</v>
      </c>
      <c r="F174" s="22">
        <f>IF(A$174=TRUE,E174*C$174,0)</f>
        <v>0</v>
      </c>
      <c r="G174" s="22">
        <f>VLOOKUP(D174,Špajz!B:D,2,FALSE)</f>
        <v>0</v>
      </c>
    </row>
    <row r="175" spans="1:7" x14ac:dyDescent="0.3">
      <c r="A175" s="28"/>
      <c r="B175" s="27"/>
      <c r="C175" s="27"/>
      <c r="D175" s="22" t="s">
        <v>242</v>
      </c>
      <c r="E175" s="22">
        <v>40</v>
      </c>
      <c r="F175" s="22">
        <f t="shared" ref="F175:F176" si="22">IF(A$174=TRUE,E175*C$174,0)</f>
        <v>0</v>
      </c>
      <c r="G175" s="22">
        <f>VLOOKUP(D175,Špajz!B:D,2,FALSE)</f>
        <v>0</v>
      </c>
    </row>
    <row r="176" spans="1:7" x14ac:dyDescent="0.3">
      <c r="A176" s="28"/>
      <c r="B176" s="27"/>
      <c r="C176" s="27"/>
      <c r="D176" s="22" t="s">
        <v>244</v>
      </c>
      <c r="E176" s="22">
        <v>40</v>
      </c>
      <c r="F176" s="22">
        <f t="shared" si="22"/>
        <v>0</v>
      </c>
      <c r="G176" s="22">
        <f>VLOOKUP(D176,Špajz!B:D,2,FALSE)</f>
        <v>0</v>
      </c>
    </row>
    <row r="177" spans="1:7" x14ac:dyDescent="0.3">
      <c r="A177" s="28" t="b">
        <v>1</v>
      </c>
      <c r="B177" s="27" t="s">
        <v>208</v>
      </c>
      <c r="C177" s="27">
        <v>1</v>
      </c>
      <c r="D177" s="22" t="s">
        <v>44</v>
      </c>
      <c r="E177" s="22">
        <v>1</v>
      </c>
      <c r="F177" s="22">
        <f>IF(A$177=TRUE,E177*C$177,0)</f>
        <v>1</v>
      </c>
      <c r="G177" s="22">
        <f>VLOOKUP(D177,Špajz!B:D,2,FALSE)</f>
        <v>0</v>
      </c>
    </row>
    <row r="178" spans="1:7" x14ac:dyDescent="0.3">
      <c r="A178" s="28"/>
      <c r="B178" s="27"/>
      <c r="C178" s="27"/>
      <c r="D178" s="22" t="s">
        <v>26</v>
      </c>
      <c r="E178" s="22">
        <v>1</v>
      </c>
      <c r="F178" s="22">
        <f>IF(A$177=TRUE,E178*C$177,0)</f>
        <v>1</v>
      </c>
      <c r="G178" s="22">
        <f>VLOOKUP(D178,Špajz!B:D,2,FALSE)</f>
        <v>0</v>
      </c>
    </row>
    <row r="179" spans="1:7" x14ac:dyDescent="0.3">
      <c r="A179" s="28"/>
      <c r="B179" s="27"/>
      <c r="C179" s="27"/>
      <c r="D179" s="22" t="s">
        <v>20</v>
      </c>
      <c r="E179" s="22"/>
      <c r="F179" s="22">
        <f>IF(A$177=TRUE,E179*C$177,0)</f>
        <v>0</v>
      </c>
      <c r="G179" s="22">
        <f>VLOOKUP(D179,Špajz!B:D,2,FALSE)</f>
        <v>0</v>
      </c>
    </row>
    <row r="180" spans="1:7" x14ac:dyDescent="0.3">
      <c r="A180" s="28"/>
      <c r="B180" s="27"/>
      <c r="C180" s="27"/>
      <c r="D180" s="22" t="s">
        <v>36</v>
      </c>
      <c r="E180" s="22">
        <v>1</v>
      </c>
      <c r="F180" s="22">
        <f>IF(A$177=TRUE,E180*C$177,0)</f>
        <v>1</v>
      </c>
      <c r="G180" s="22">
        <f>VLOOKUP(D180,Špajz!B:D,2,FALSE)</f>
        <v>0</v>
      </c>
    </row>
    <row r="181" spans="1:7" x14ac:dyDescent="0.3">
      <c r="A181" s="28"/>
      <c r="B181" s="27"/>
      <c r="C181" s="27"/>
      <c r="D181" s="22" t="s">
        <v>21</v>
      </c>
      <c r="E181" s="22">
        <v>1</v>
      </c>
      <c r="F181" s="22">
        <f>IF(A$177=TRUE,E181*C$177,0)</f>
        <v>1</v>
      </c>
      <c r="G181" s="22">
        <f>VLOOKUP(D181,Špajz!B:D,2,FALSE)</f>
        <v>0</v>
      </c>
    </row>
    <row r="182" spans="1:7" x14ac:dyDescent="0.3">
      <c r="A182" s="25" t="b">
        <v>1</v>
      </c>
      <c r="B182" s="26" t="s">
        <v>209</v>
      </c>
      <c r="C182" s="26">
        <v>1</v>
      </c>
      <c r="D182" t="s">
        <v>116</v>
      </c>
      <c r="E182">
        <v>100</v>
      </c>
      <c r="F182">
        <f>IF(A$182=TRUE,E182*C$182,0)</f>
        <v>100</v>
      </c>
      <c r="G182">
        <f>VLOOKUP(D182,Špajz!B:D,2,FALSE)</f>
        <v>0</v>
      </c>
    </row>
    <row r="183" spans="1:7" x14ac:dyDescent="0.3">
      <c r="A183" s="25"/>
      <c r="B183" s="26"/>
      <c r="C183" s="26"/>
      <c r="D183" t="s">
        <v>118</v>
      </c>
      <c r="E183">
        <v>100</v>
      </c>
      <c r="F183">
        <f>IF(A$182=TRUE,E183*C$182,0)</f>
        <v>100</v>
      </c>
      <c r="G183">
        <f>VLOOKUP(D183,Špajz!B:D,2,FALSE)</f>
        <v>0</v>
      </c>
    </row>
    <row r="184" spans="1:7" x14ac:dyDescent="0.3">
      <c r="A184" s="25"/>
      <c r="B184" s="26"/>
      <c r="C184" s="26"/>
      <c r="D184" t="s">
        <v>117</v>
      </c>
      <c r="E184">
        <v>100</v>
      </c>
      <c r="F184">
        <f>IF(A$182=TRUE,E184*C$182,0)</f>
        <v>100</v>
      </c>
      <c r="G184">
        <f>VLOOKUP(D184,Špajz!B:D,2,FALSE)</f>
        <v>0</v>
      </c>
    </row>
    <row r="185" spans="1:7" x14ac:dyDescent="0.3">
      <c r="A185" s="5" t="b">
        <v>0</v>
      </c>
      <c r="B185" t="s">
        <v>17</v>
      </c>
      <c r="C185">
        <v>2</v>
      </c>
      <c r="D185" t="s">
        <v>17</v>
      </c>
      <c r="E185">
        <v>300</v>
      </c>
      <c r="F185">
        <f>IF(A$185=TRUE,E185*C$185,0)</f>
        <v>0</v>
      </c>
    </row>
  </sheetData>
  <autoFilter ref="A1:H46" xr:uid="{493EA15D-FE8F-472B-BD44-0D726E189993}"/>
  <mergeCells count="120">
    <mergeCell ref="B83:B86"/>
    <mergeCell ref="C174:C176"/>
    <mergeCell ref="B174:B176"/>
    <mergeCell ref="A174:A176"/>
    <mergeCell ref="C149:C150"/>
    <mergeCell ref="C151:C152"/>
    <mergeCell ref="C153:C155"/>
    <mergeCell ref="C156:C157"/>
    <mergeCell ref="C158:C161"/>
    <mergeCell ref="B149:B150"/>
    <mergeCell ref="B151:B152"/>
    <mergeCell ref="B153:B155"/>
    <mergeCell ref="B156:B157"/>
    <mergeCell ref="B158:B161"/>
    <mergeCell ref="A149:A150"/>
    <mergeCell ref="A151:A152"/>
    <mergeCell ref="A153:A155"/>
    <mergeCell ref="A156:A157"/>
    <mergeCell ref="A158:A161"/>
    <mergeCell ref="A11:A12"/>
    <mergeCell ref="B3:B4"/>
    <mergeCell ref="B5:B6"/>
    <mergeCell ref="B7:B8"/>
    <mergeCell ref="B9:B10"/>
    <mergeCell ref="B11:B12"/>
    <mergeCell ref="A3:A4"/>
    <mergeCell ref="A5:A6"/>
    <mergeCell ref="A7:A8"/>
    <mergeCell ref="A9:A10"/>
    <mergeCell ref="C3:C4"/>
    <mergeCell ref="C5:C6"/>
    <mergeCell ref="C7:C8"/>
    <mergeCell ref="C9:C10"/>
    <mergeCell ref="C11:C12"/>
    <mergeCell ref="C13:C15"/>
    <mergeCell ref="C127:C131"/>
    <mergeCell ref="B127:B131"/>
    <mergeCell ref="A127:A131"/>
    <mergeCell ref="B95:B99"/>
    <mergeCell ref="B100:B104"/>
    <mergeCell ref="C78:C82"/>
    <mergeCell ref="B78:B82"/>
    <mergeCell ref="A78:A82"/>
    <mergeCell ref="B13:B15"/>
    <mergeCell ref="A13:A15"/>
    <mergeCell ref="A113:A115"/>
    <mergeCell ref="A124:A126"/>
    <mergeCell ref="C95:C99"/>
    <mergeCell ref="C100:C104"/>
    <mergeCell ref="A95:A99"/>
    <mergeCell ref="B26:B29"/>
    <mergeCell ref="C26:C29"/>
    <mergeCell ref="C30:C31"/>
    <mergeCell ref="C57:C60"/>
    <mergeCell ref="C62:C65"/>
    <mergeCell ref="A16:A19"/>
    <mergeCell ref="B30:B31"/>
    <mergeCell ref="A30:A31"/>
    <mergeCell ref="C16:C19"/>
    <mergeCell ref="B16:B19"/>
    <mergeCell ref="B20:B22"/>
    <mergeCell ref="C20:C22"/>
    <mergeCell ref="B23:B25"/>
    <mergeCell ref="C23:C25"/>
    <mergeCell ref="A26:A29"/>
    <mergeCell ref="A23:A25"/>
    <mergeCell ref="A20:A22"/>
    <mergeCell ref="B48:B50"/>
    <mergeCell ref="B51:B53"/>
    <mergeCell ref="B54:B56"/>
    <mergeCell ref="B57:B60"/>
    <mergeCell ref="B62:B65"/>
    <mergeCell ref="C87:C92"/>
    <mergeCell ref="A177:A181"/>
    <mergeCell ref="A182:A184"/>
    <mergeCell ref="A87:A92"/>
    <mergeCell ref="C138:C143"/>
    <mergeCell ref="B138:B143"/>
    <mergeCell ref="A138:A143"/>
    <mergeCell ref="C44:C46"/>
    <mergeCell ref="B44:B46"/>
    <mergeCell ref="A44:A46"/>
    <mergeCell ref="B177:B181"/>
    <mergeCell ref="B124:B126"/>
    <mergeCell ref="B113:B115"/>
    <mergeCell ref="C72:C77"/>
    <mergeCell ref="B72:B77"/>
    <mergeCell ref="A72:A77"/>
    <mergeCell ref="A48:A50"/>
    <mergeCell ref="A51:A53"/>
    <mergeCell ref="A54:A56"/>
    <mergeCell ref="A57:A60"/>
    <mergeCell ref="A62:A65"/>
    <mergeCell ref="C48:C50"/>
    <mergeCell ref="C51:C53"/>
    <mergeCell ref="C54:C56"/>
    <mergeCell ref="A83:A86"/>
    <mergeCell ref="C83:C86"/>
    <mergeCell ref="B32:B36"/>
    <mergeCell ref="A32:A36"/>
    <mergeCell ref="C32:C36"/>
    <mergeCell ref="C39:C43"/>
    <mergeCell ref="A100:A104"/>
    <mergeCell ref="B182:B184"/>
    <mergeCell ref="B66:B71"/>
    <mergeCell ref="B144:B147"/>
    <mergeCell ref="C144:C147"/>
    <mergeCell ref="A144:A147"/>
    <mergeCell ref="C66:C71"/>
    <mergeCell ref="A66:A71"/>
    <mergeCell ref="B39:B43"/>
    <mergeCell ref="A39:A43"/>
    <mergeCell ref="C124:C126"/>
    <mergeCell ref="C113:C115"/>
    <mergeCell ref="B116:B123"/>
    <mergeCell ref="A116:A123"/>
    <mergeCell ref="C116:C123"/>
    <mergeCell ref="C177:C181"/>
    <mergeCell ref="C182:C184"/>
    <mergeCell ref="B87:B92"/>
  </mergeCells>
  <phoneticPr fontId="3" type="noConversion"/>
  <hyperlinks>
    <hyperlink ref="H116" r:id="rId1" display="https://www.youtube.com/watch?v=9gNIqtmYg5o&amp;ab_channel=LifebyMikeG" xr:uid="{2214D45D-DFC9-438A-8773-E5BA58A2DA02}"/>
    <hyperlink ref="H79" r:id="rId2" display="https://www.saltandlavender.com/easy-canned-tuna-pasta/" xr:uid="{D7F01108-FA1C-4A05-B7A1-1405E89A5172}"/>
    <hyperlink ref="H100" r:id="rId3" display="https://www.afarmgirlsdabbles.com/slow-cooker-hungarian-goulash-recipe-hungary-austria/" xr:uid="{E5E52030-ED6F-44B7-8418-EE034235A09D}"/>
    <hyperlink ref="H113" r:id="rId4" display="https://fresh.iprima.cz/prima-fresh/vajickova-pomazanka" xr:uid="{DA337005-2202-41C0-A7A9-4B342D056AD9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85262A8-ED55-4AD1-B90E-CC3D54BBF2FC}">
          <x14:formula1>
            <xm:f>'Nákupní seznam'!$F$2:$F$360</xm:f>
          </x14:formula1>
          <xm:sqref>D53:D56 D58:D81 D83:D104 D138:D946 D113:D131 D3:D51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CC15E-953F-4C04-91F6-AE7DE63AF008}">
  <dimension ref="A1:D189"/>
  <sheetViews>
    <sheetView topLeftCell="A53" workbookViewId="0">
      <selection activeCell="B72" sqref="B72"/>
    </sheetView>
  </sheetViews>
  <sheetFormatPr defaultRowHeight="14.4" x14ac:dyDescent="0.3"/>
  <cols>
    <col min="1" max="1" width="11.88671875" customWidth="1"/>
    <col min="2" max="2" width="54.5546875" style="8" bestFit="1" customWidth="1"/>
  </cols>
  <sheetData>
    <row r="1" spans="1:4" x14ac:dyDescent="0.3">
      <c r="A1" t="s">
        <v>213</v>
      </c>
      <c r="B1" s="8" t="s">
        <v>214</v>
      </c>
      <c r="C1" t="s">
        <v>177</v>
      </c>
    </row>
    <row r="2" spans="1:4" ht="31.2" x14ac:dyDescent="0.6">
      <c r="A2" s="5" t="b">
        <v>0</v>
      </c>
      <c r="B2" s="9" t="s">
        <v>6</v>
      </c>
    </row>
    <row r="3" spans="1:4" x14ac:dyDescent="0.3">
      <c r="A3" s="5" t="b">
        <v>0</v>
      </c>
      <c r="B3" s="10" t="s">
        <v>8</v>
      </c>
      <c r="D3">
        <f t="shared" ref="D3:D73" si="0">IF(A3,C3,0)</f>
        <v>0</v>
      </c>
    </row>
    <row r="4" spans="1:4" x14ac:dyDescent="0.3">
      <c r="A4" s="5" t="b">
        <v>0</v>
      </c>
      <c r="B4" s="10" t="s">
        <v>10</v>
      </c>
      <c r="D4">
        <f t="shared" si="0"/>
        <v>0</v>
      </c>
    </row>
    <row r="5" spans="1:4" x14ac:dyDescent="0.3">
      <c r="A5" s="5" t="b">
        <v>0</v>
      </c>
      <c r="B5" s="10" t="s">
        <v>98</v>
      </c>
      <c r="D5">
        <f t="shared" si="0"/>
        <v>0</v>
      </c>
    </row>
    <row r="6" spans="1:4" ht="31.2" x14ac:dyDescent="0.3">
      <c r="A6" s="5" t="b">
        <v>0</v>
      </c>
      <c r="B6" s="1" t="s">
        <v>11</v>
      </c>
      <c r="D6">
        <f t="shared" si="0"/>
        <v>0</v>
      </c>
    </row>
    <row r="7" spans="1:4" x14ac:dyDescent="0.3">
      <c r="A7" s="5" t="b">
        <v>0</v>
      </c>
      <c r="B7" s="10" t="s">
        <v>247</v>
      </c>
      <c r="D7">
        <f t="shared" si="0"/>
        <v>0</v>
      </c>
    </row>
    <row r="8" spans="1:4" x14ac:dyDescent="0.3">
      <c r="A8" s="5" t="b">
        <v>0</v>
      </c>
      <c r="B8" s="10" t="s">
        <v>12</v>
      </c>
      <c r="D8">
        <f t="shared" si="0"/>
        <v>0</v>
      </c>
    </row>
    <row r="9" spans="1:4" ht="31.2" x14ac:dyDescent="0.3">
      <c r="A9" s="5" t="b">
        <v>0</v>
      </c>
      <c r="B9" s="1" t="s">
        <v>13</v>
      </c>
      <c r="D9">
        <f t="shared" si="0"/>
        <v>0</v>
      </c>
    </row>
    <row r="10" spans="1:4" x14ac:dyDescent="0.3">
      <c r="A10" s="5" t="b">
        <v>0</v>
      </c>
      <c r="B10" s="10" t="s">
        <v>15</v>
      </c>
      <c r="D10">
        <f t="shared" si="0"/>
        <v>0</v>
      </c>
    </row>
    <row r="11" spans="1:4" x14ac:dyDescent="0.3">
      <c r="A11" s="5" t="b">
        <v>0</v>
      </c>
      <c r="B11" s="10" t="s">
        <v>16</v>
      </c>
      <c r="D11">
        <f t="shared" si="0"/>
        <v>0</v>
      </c>
    </row>
    <row r="12" spans="1:4" x14ac:dyDescent="0.3">
      <c r="A12" s="5" t="b">
        <v>0</v>
      </c>
      <c r="B12" s="10" t="s">
        <v>17</v>
      </c>
      <c r="D12">
        <f t="shared" si="0"/>
        <v>0</v>
      </c>
    </row>
    <row r="13" spans="1:4" x14ac:dyDescent="0.3">
      <c r="A13" s="5" t="b">
        <v>0</v>
      </c>
      <c r="B13" s="10" t="s">
        <v>18</v>
      </c>
      <c r="D13">
        <f t="shared" si="0"/>
        <v>0</v>
      </c>
    </row>
    <row r="14" spans="1:4" x14ac:dyDescent="0.3">
      <c r="A14" s="5" t="b">
        <v>0</v>
      </c>
      <c r="B14" s="10" t="s">
        <v>19</v>
      </c>
      <c r="D14">
        <f t="shared" si="0"/>
        <v>0</v>
      </c>
    </row>
    <row r="15" spans="1:4" x14ac:dyDescent="0.3">
      <c r="A15" s="5" t="b">
        <v>0</v>
      </c>
      <c r="B15" s="10" t="s">
        <v>20</v>
      </c>
      <c r="D15">
        <f t="shared" si="0"/>
        <v>0</v>
      </c>
    </row>
    <row r="16" spans="1:4" x14ac:dyDescent="0.3">
      <c r="A16" s="5" t="b">
        <v>0</v>
      </c>
      <c r="B16" s="10" t="s">
        <v>14</v>
      </c>
      <c r="D16">
        <f t="shared" si="0"/>
        <v>0</v>
      </c>
    </row>
    <row r="17" spans="1:4" x14ac:dyDescent="0.3">
      <c r="A17" s="5" t="b">
        <v>0</v>
      </c>
      <c r="B17" s="10" t="s">
        <v>21</v>
      </c>
      <c r="D17">
        <f t="shared" si="0"/>
        <v>0</v>
      </c>
    </row>
    <row r="18" spans="1:4" x14ac:dyDescent="0.3">
      <c r="A18" s="5" t="b">
        <v>0</v>
      </c>
      <c r="B18" s="10" t="s">
        <v>22</v>
      </c>
      <c r="D18">
        <f t="shared" si="0"/>
        <v>0</v>
      </c>
    </row>
    <row r="19" spans="1:4" x14ac:dyDescent="0.3">
      <c r="A19" s="5" t="b">
        <v>0</v>
      </c>
      <c r="B19" s="10" t="s">
        <v>22</v>
      </c>
      <c r="D19">
        <f t="shared" si="0"/>
        <v>0</v>
      </c>
    </row>
    <row r="20" spans="1:4" x14ac:dyDescent="0.3">
      <c r="A20" s="5" t="b">
        <v>0</v>
      </c>
      <c r="B20" s="10" t="s">
        <v>23</v>
      </c>
      <c r="D20">
        <f t="shared" si="0"/>
        <v>0</v>
      </c>
    </row>
    <row r="21" spans="1:4" x14ac:dyDescent="0.3">
      <c r="A21" s="5" t="b">
        <v>0</v>
      </c>
      <c r="B21" s="10" t="s">
        <v>24</v>
      </c>
      <c r="D21">
        <f t="shared" si="0"/>
        <v>0</v>
      </c>
    </row>
    <row r="22" spans="1:4" x14ac:dyDescent="0.3">
      <c r="A22" s="5" t="b">
        <v>0</v>
      </c>
      <c r="B22" s="10" t="s">
        <v>25</v>
      </c>
      <c r="D22">
        <f t="shared" si="0"/>
        <v>0</v>
      </c>
    </row>
    <row r="23" spans="1:4" x14ac:dyDescent="0.3">
      <c r="A23" s="5" t="b">
        <v>0</v>
      </c>
      <c r="B23" s="10" t="s">
        <v>26</v>
      </c>
      <c r="D23">
        <f t="shared" si="0"/>
        <v>0</v>
      </c>
    </row>
    <row r="24" spans="1:4" x14ac:dyDescent="0.3">
      <c r="A24" s="5" t="b">
        <v>0</v>
      </c>
      <c r="B24" s="10" t="s">
        <v>27</v>
      </c>
      <c r="D24">
        <f t="shared" si="0"/>
        <v>0</v>
      </c>
    </row>
    <row r="25" spans="1:4" x14ac:dyDescent="0.3">
      <c r="A25" s="5" t="b">
        <v>0</v>
      </c>
      <c r="B25" s="10" t="s">
        <v>28</v>
      </c>
      <c r="D25">
        <f t="shared" si="0"/>
        <v>0</v>
      </c>
    </row>
    <row r="26" spans="1:4" x14ac:dyDescent="0.3">
      <c r="A26" s="5" t="b">
        <v>0</v>
      </c>
      <c r="B26" s="10" t="s">
        <v>29</v>
      </c>
      <c r="D26">
        <f t="shared" si="0"/>
        <v>0</v>
      </c>
    </row>
    <row r="27" spans="1:4" x14ac:dyDescent="0.3">
      <c r="A27" s="5" t="b">
        <v>0</v>
      </c>
      <c r="B27" s="10" t="s">
        <v>30</v>
      </c>
      <c r="D27">
        <f t="shared" si="0"/>
        <v>0</v>
      </c>
    </row>
    <row r="28" spans="1:4" x14ac:dyDescent="0.3">
      <c r="A28" s="5" t="b">
        <v>0</v>
      </c>
      <c r="B28" s="10" t="s">
        <v>31</v>
      </c>
      <c r="D28">
        <f t="shared" si="0"/>
        <v>0</v>
      </c>
    </row>
    <row r="29" spans="1:4" x14ac:dyDescent="0.3">
      <c r="A29" s="5" t="b">
        <v>0</v>
      </c>
      <c r="B29" s="10" t="s">
        <v>32</v>
      </c>
      <c r="D29">
        <f t="shared" si="0"/>
        <v>0</v>
      </c>
    </row>
    <row r="30" spans="1:4" x14ac:dyDescent="0.3">
      <c r="A30" s="5" t="b">
        <v>0</v>
      </c>
      <c r="B30" s="10" t="s">
        <v>33</v>
      </c>
      <c r="D30">
        <f t="shared" si="0"/>
        <v>0</v>
      </c>
    </row>
    <row r="31" spans="1:4" x14ac:dyDescent="0.3">
      <c r="A31" s="5" t="b">
        <v>0</v>
      </c>
      <c r="B31" s="10" t="s">
        <v>34</v>
      </c>
      <c r="D31">
        <f t="shared" si="0"/>
        <v>0</v>
      </c>
    </row>
    <row r="32" spans="1:4" x14ac:dyDescent="0.3">
      <c r="A32" s="5" t="b">
        <v>0</v>
      </c>
      <c r="B32" s="10" t="s">
        <v>35</v>
      </c>
      <c r="D32">
        <f t="shared" si="0"/>
        <v>0</v>
      </c>
    </row>
    <row r="33" spans="1:4" x14ac:dyDescent="0.3">
      <c r="A33" s="5" t="b">
        <v>0</v>
      </c>
      <c r="B33" s="10" t="s">
        <v>37</v>
      </c>
      <c r="D33">
        <f t="shared" si="0"/>
        <v>0</v>
      </c>
    </row>
    <row r="34" spans="1:4" x14ac:dyDescent="0.3">
      <c r="A34" s="5" t="b">
        <v>0</v>
      </c>
      <c r="B34" s="10" t="s">
        <v>36</v>
      </c>
      <c r="D34">
        <f t="shared" si="0"/>
        <v>0</v>
      </c>
    </row>
    <row r="35" spans="1:4" x14ac:dyDescent="0.3">
      <c r="A35" s="5" t="b">
        <v>0</v>
      </c>
      <c r="B35" s="10" t="s">
        <v>230</v>
      </c>
      <c r="D35">
        <f t="shared" si="0"/>
        <v>0</v>
      </c>
    </row>
    <row r="36" spans="1:4" ht="31.2" x14ac:dyDescent="0.3">
      <c r="A36" s="5" t="b">
        <v>0</v>
      </c>
      <c r="B36" s="1" t="s">
        <v>38</v>
      </c>
      <c r="D36">
        <f t="shared" si="0"/>
        <v>0</v>
      </c>
    </row>
    <row r="37" spans="1:4" x14ac:dyDescent="0.3">
      <c r="A37" s="5" t="b">
        <v>0</v>
      </c>
      <c r="B37" s="10" t="s">
        <v>39</v>
      </c>
      <c r="D37">
        <f t="shared" si="0"/>
        <v>0</v>
      </c>
    </row>
    <row r="38" spans="1:4" x14ac:dyDescent="0.3">
      <c r="A38" s="5" t="b">
        <v>0</v>
      </c>
      <c r="B38" s="10" t="s">
        <v>40</v>
      </c>
      <c r="D38">
        <f t="shared" si="0"/>
        <v>0</v>
      </c>
    </row>
    <row r="39" spans="1:4" x14ac:dyDescent="0.3">
      <c r="A39" s="5" t="b">
        <v>0</v>
      </c>
      <c r="B39" s="10" t="s">
        <v>41</v>
      </c>
      <c r="D39">
        <f t="shared" si="0"/>
        <v>0</v>
      </c>
    </row>
    <row r="40" spans="1:4" x14ac:dyDescent="0.3">
      <c r="A40" s="5" t="b">
        <v>0</v>
      </c>
      <c r="B40" s="10" t="s">
        <v>42</v>
      </c>
      <c r="D40">
        <f t="shared" si="0"/>
        <v>0</v>
      </c>
    </row>
    <row r="41" spans="1:4" x14ac:dyDescent="0.3">
      <c r="A41" s="5" t="b">
        <v>0</v>
      </c>
      <c r="B41" s="10" t="s">
        <v>43</v>
      </c>
      <c r="D41">
        <f t="shared" si="0"/>
        <v>0</v>
      </c>
    </row>
    <row r="42" spans="1:4" x14ac:dyDescent="0.3">
      <c r="A42" s="5" t="b">
        <v>0</v>
      </c>
      <c r="B42" s="10" t="s">
        <v>44</v>
      </c>
      <c r="D42">
        <f t="shared" si="0"/>
        <v>0</v>
      </c>
    </row>
    <row r="43" spans="1:4" x14ac:dyDescent="0.3">
      <c r="A43" s="5" t="b">
        <v>0</v>
      </c>
      <c r="B43" s="10" t="s">
        <v>45</v>
      </c>
      <c r="D43">
        <f t="shared" si="0"/>
        <v>0</v>
      </c>
    </row>
    <row r="44" spans="1:4" x14ac:dyDescent="0.3">
      <c r="A44" s="5" t="b">
        <v>0</v>
      </c>
      <c r="B44" s="10" t="s">
        <v>46</v>
      </c>
      <c r="D44">
        <f t="shared" si="0"/>
        <v>0</v>
      </c>
    </row>
    <row r="45" spans="1:4" x14ac:dyDescent="0.3">
      <c r="A45" s="5" t="b">
        <v>0</v>
      </c>
      <c r="B45" s="10" t="s">
        <v>47</v>
      </c>
      <c r="D45">
        <f t="shared" si="0"/>
        <v>0</v>
      </c>
    </row>
    <row r="46" spans="1:4" x14ac:dyDescent="0.3">
      <c r="A46" s="5" t="b">
        <v>0</v>
      </c>
      <c r="B46" s="10" t="s">
        <v>226</v>
      </c>
      <c r="D46">
        <f t="shared" si="0"/>
        <v>0</v>
      </c>
    </row>
    <row r="47" spans="1:4" x14ac:dyDescent="0.3">
      <c r="A47" s="5" t="b">
        <v>0</v>
      </c>
      <c r="B47" s="10" t="s">
        <v>48</v>
      </c>
      <c r="D47">
        <f t="shared" si="0"/>
        <v>0</v>
      </c>
    </row>
    <row r="48" spans="1:4" x14ac:dyDescent="0.3">
      <c r="A48" s="5" t="b">
        <v>0</v>
      </c>
      <c r="B48" s="10" t="s">
        <v>49</v>
      </c>
      <c r="D48">
        <f t="shared" si="0"/>
        <v>0</v>
      </c>
    </row>
    <row r="49" spans="1:4" x14ac:dyDescent="0.3">
      <c r="A49" s="5" t="b">
        <v>0</v>
      </c>
      <c r="B49" s="10" t="s">
        <v>50</v>
      </c>
      <c r="D49">
        <f t="shared" si="0"/>
        <v>0</v>
      </c>
    </row>
    <row r="50" spans="1:4" x14ac:dyDescent="0.3">
      <c r="A50" s="5" t="b">
        <v>0</v>
      </c>
      <c r="B50" s="10" t="s">
        <v>221</v>
      </c>
      <c r="D50">
        <f t="shared" si="0"/>
        <v>0</v>
      </c>
    </row>
    <row r="51" spans="1:4" x14ac:dyDescent="0.3">
      <c r="A51" s="5" t="b">
        <v>0</v>
      </c>
      <c r="B51" s="10" t="s">
        <v>51</v>
      </c>
      <c r="D51">
        <f t="shared" si="0"/>
        <v>0</v>
      </c>
    </row>
    <row r="52" spans="1:4" x14ac:dyDescent="0.3">
      <c r="A52" s="5" t="b">
        <v>0</v>
      </c>
      <c r="B52" s="10" t="s">
        <v>52</v>
      </c>
      <c r="D52">
        <f t="shared" si="0"/>
        <v>0</v>
      </c>
    </row>
    <row r="53" spans="1:4" x14ac:dyDescent="0.3">
      <c r="A53" s="5" t="b">
        <v>0</v>
      </c>
      <c r="B53" s="10" t="s">
        <v>53</v>
      </c>
      <c r="D53">
        <f t="shared" si="0"/>
        <v>0</v>
      </c>
    </row>
    <row r="54" spans="1:4" ht="31.2" x14ac:dyDescent="0.3">
      <c r="A54" s="5" t="b">
        <v>0</v>
      </c>
      <c r="B54" s="1" t="s">
        <v>54</v>
      </c>
      <c r="D54">
        <f t="shared" si="0"/>
        <v>0</v>
      </c>
    </row>
    <row r="55" spans="1:4" x14ac:dyDescent="0.3">
      <c r="A55" s="5" t="b">
        <v>0</v>
      </c>
      <c r="B55" s="10" t="s">
        <v>55</v>
      </c>
      <c r="D55">
        <f t="shared" si="0"/>
        <v>0</v>
      </c>
    </row>
    <row r="56" spans="1:4" x14ac:dyDescent="0.3">
      <c r="A56" s="5" t="b">
        <v>0</v>
      </c>
      <c r="B56" s="10" t="s">
        <v>56</v>
      </c>
      <c r="D56">
        <f t="shared" si="0"/>
        <v>0</v>
      </c>
    </row>
    <row r="57" spans="1:4" x14ac:dyDescent="0.3">
      <c r="A57" s="5" t="b">
        <v>0</v>
      </c>
      <c r="B57" s="10" t="s">
        <v>245</v>
      </c>
      <c r="D57">
        <f t="shared" si="0"/>
        <v>0</v>
      </c>
    </row>
    <row r="58" spans="1:4" x14ac:dyDescent="0.3">
      <c r="A58" s="5" t="b">
        <v>0</v>
      </c>
      <c r="B58" s="10" t="s">
        <v>57</v>
      </c>
      <c r="D58">
        <f t="shared" si="0"/>
        <v>0</v>
      </c>
    </row>
    <row r="59" spans="1:4" x14ac:dyDescent="0.3">
      <c r="A59" s="5" t="b">
        <v>0</v>
      </c>
      <c r="B59" s="10" t="s">
        <v>58</v>
      </c>
      <c r="D59">
        <f t="shared" si="0"/>
        <v>0</v>
      </c>
    </row>
    <row r="60" spans="1:4" x14ac:dyDescent="0.3">
      <c r="A60" s="5" t="b">
        <v>0</v>
      </c>
      <c r="B60" s="10" t="s">
        <v>218</v>
      </c>
      <c r="D60">
        <f t="shared" si="0"/>
        <v>0</v>
      </c>
    </row>
    <row r="61" spans="1:4" x14ac:dyDescent="0.3">
      <c r="A61" s="5" t="b">
        <v>0</v>
      </c>
      <c r="B61" s="10" t="s">
        <v>59</v>
      </c>
      <c r="D61">
        <f t="shared" si="0"/>
        <v>0</v>
      </c>
    </row>
    <row r="62" spans="1:4" x14ac:dyDescent="0.3">
      <c r="A62" s="5" t="b">
        <v>0</v>
      </c>
      <c r="B62" s="10" t="s">
        <v>60</v>
      </c>
      <c r="D62">
        <f t="shared" si="0"/>
        <v>0</v>
      </c>
    </row>
    <row r="63" spans="1:4" x14ac:dyDescent="0.3">
      <c r="A63" s="5" t="b">
        <v>0</v>
      </c>
      <c r="B63" s="10" t="s">
        <v>61</v>
      </c>
      <c r="D63">
        <f t="shared" si="0"/>
        <v>0</v>
      </c>
    </row>
    <row r="64" spans="1:4" x14ac:dyDescent="0.3">
      <c r="A64" s="5" t="b">
        <v>0</v>
      </c>
      <c r="B64" s="10" t="s">
        <v>63</v>
      </c>
      <c r="D64">
        <f t="shared" si="0"/>
        <v>0</v>
      </c>
    </row>
    <row r="65" spans="1:4" x14ac:dyDescent="0.3">
      <c r="A65" s="5" t="b">
        <v>0</v>
      </c>
      <c r="B65" s="10" t="s">
        <v>229</v>
      </c>
      <c r="D65">
        <f t="shared" si="0"/>
        <v>0</v>
      </c>
    </row>
    <row r="66" spans="1:4" x14ac:dyDescent="0.3">
      <c r="A66" s="5" t="b">
        <v>0</v>
      </c>
      <c r="B66" s="10" t="s">
        <v>223</v>
      </c>
      <c r="D66">
        <f t="shared" si="0"/>
        <v>0</v>
      </c>
    </row>
    <row r="67" spans="1:4" x14ac:dyDescent="0.3">
      <c r="A67" s="5" t="b">
        <v>0</v>
      </c>
      <c r="B67" s="10" t="s">
        <v>64</v>
      </c>
      <c r="D67">
        <f t="shared" si="0"/>
        <v>0</v>
      </c>
    </row>
    <row r="68" spans="1:4" x14ac:dyDescent="0.3">
      <c r="A68" s="5" t="b">
        <v>0</v>
      </c>
      <c r="B68" s="10" t="s">
        <v>65</v>
      </c>
      <c r="D68">
        <f t="shared" si="0"/>
        <v>0</v>
      </c>
    </row>
    <row r="69" spans="1:4" x14ac:dyDescent="0.3">
      <c r="A69" s="5" t="b">
        <v>0</v>
      </c>
      <c r="B69" s="10" t="s">
        <v>66</v>
      </c>
      <c r="D69">
        <f t="shared" si="0"/>
        <v>0</v>
      </c>
    </row>
    <row r="70" spans="1:4" x14ac:dyDescent="0.3">
      <c r="A70" s="5" t="b">
        <v>0</v>
      </c>
      <c r="B70" s="10" t="s">
        <v>67</v>
      </c>
      <c r="D70">
        <f t="shared" si="0"/>
        <v>0</v>
      </c>
    </row>
    <row r="71" spans="1:4" x14ac:dyDescent="0.3">
      <c r="A71" s="5" t="b">
        <v>0</v>
      </c>
      <c r="B71" s="10" t="s">
        <v>68</v>
      </c>
      <c r="D71">
        <f t="shared" si="0"/>
        <v>0</v>
      </c>
    </row>
    <row r="72" spans="1:4" x14ac:dyDescent="0.3">
      <c r="A72" s="5" t="b">
        <v>0</v>
      </c>
      <c r="B72" s="21" t="s">
        <v>252</v>
      </c>
      <c r="D72">
        <f t="shared" si="0"/>
        <v>0</v>
      </c>
    </row>
    <row r="73" spans="1:4" x14ac:dyDescent="0.3">
      <c r="A73" s="5" t="b">
        <v>0</v>
      </c>
      <c r="B73" s="10" t="s">
        <v>69</v>
      </c>
      <c r="D73">
        <f t="shared" si="0"/>
        <v>0</v>
      </c>
    </row>
    <row r="74" spans="1:4" x14ac:dyDescent="0.3">
      <c r="A74" s="5" t="b">
        <v>0</v>
      </c>
      <c r="B74" s="10" t="s">
        <v>70</v>
      </c>
      <c r="D74">
        <f t="shared" ref="D74:D137" si="1">IF(A74,C74,0)</f>
        <v>0</v>
      </c>
    </row>
    <row r="75" spans="1:4" x14ac:dyDescent="0.3">
      <c r="A75" s="5" t="b">
        <v>0</v>
      </c>
      <c r="B75" s="10" t="s">
        <v>71</v>
      </c>
      <c r="D75">
        <f t="shared" si="1"/>
        <v>0</v>
      </c>
    </row>
    <row r="76" spans="1:4" ht="31.2" x14ac:dyDescent="0.3">
      <c r="A76" s="5" t="b">
        <v>0</v>
      </c>
      <c r="B76" s="1" t="s">
        <v>72</v>
      </c>
      <c r="D76">
        <f t="shared" si="1"/>
        <v>0</v>
      </c>
    </row>
    <row r="77" spans="1:4" x14ac:dyDescent="0.3">
      <c r="A77" s="5" t="b">
        <v>0</v>
      </c>
      <c r="B77" s="10" t="s">
        <v>234</v>
      </c>
      <c r="D77">
        <f t="shared" si="1"/>
        <v>0</v>
      </c>
    </row>
    <row r="78" spans="1:4" x14ac:dyDescent="0.3">
      <c r="A78" s="5" t="b">
        <v>0</v>
      </c>
      <c r="B78" s="10" t="s">
        <v>79</v>
      </c>
      <c r="D78">
        <f t="shared" si="1"/>
        <v>0</v>
      </c>
    </row>
    <row r="79" spans="1:4" x14ac:dyDescent="0.3">
      <c r="A79" s="5" t="b">
        <v>0</v>
      </c>
      <c r="B79" t="s">
        <v>83</v>
      </c>
      <c r="D79">
        <f t="shared" si="1"/>
        <v>0</v>
      </c>
    </row>
    <row r="80" spans="1:4" x14ac:dyDescent="0.3">
      <c r="A80" s="5" t="b">
        <v>0</v>
      </c>
      <c r="B80" s="10" t="s">
        <v>91</v>
      </c>
      <c r="D80">
        <f t="shared" si="1"/>
        <v>0</v>
      </c>
    </row>
    <row r="81" spans="1:4" x14ac:dyDescent="0.3">
      <c r="A81" s="5" t="b">
        <v>0</v>
      </c>
      <c r="B81" s="10" t="s">
        <v>237</v>
      </c>
      <c r="D81">
        <f t="shared" si="1"/>
        <v>0</v>
      </c>
    </row>
    <row r="82" spans="1:4" x14ac:dyDescent="0.3">
      <c r="A82" s="5" t="b">
        <v>0</v>
      </c>
      <c r="B82" s="10" t="s">
        <v>103</v>
      </c>
      <c r="D82">
        <f t="shared" si="1"/>
        <v>0</v>
      </c>
    </row>
    <row r="83" spans="1:4" x14ac:dyDescent="0.3">
      <c r="A83" s="5" t="b">
        <v>0</v>
      </c>
      <c r="B83" t="s">
        <v>108</v>
      </c>
      <c r="D83">
        <f t="shared" si="1"/>
        <v>0</v>
      </c>
    </row>
    <row r="84" spans="1:4" x14ac:dyDescent="0.3">
      <c r="A84" s="5" t="b">
        <v>0</v>
      </c>
      <c r="B84" s="10" t="s">
        <v>111</v>
      </c>
      <c r="D84">
        <f t="shared" si="1"/>
        <v>0</v>
      </c>
    </row>
    <row r="85" spans="1:4" ht="31.2" x14ac:dyDescent="0.3">
      <c r="A85" s="5" t="b">
        <v>0</v>
      </c>
      <c r="B85" s="1" t="s">
        <v>112</v>
      </c>
      <c r="D85">
        <f t="shared" si="1"/>
        <v>0</v>
      </c>
    </row>
    <row r="86" spans="1:4" x14ac:dyDescent="0.3">
      <c r="A86" s="5" t="b">
        <v>0</v>
      </c>
      <c r="B86" s="10" t="s">
        <v>117</v>
      </c>
      <c r="D86">
        <f t="shared" si="1"/>
        <v>0</v>
      </c>
    </row>
    <row r="87" spans="1:4" x14ac:dyDescent="0.3">
      <c r="A87" s="5" t="b">
        <v>0</v>
      </c>
      <c r="B87" s="10" t="s">
        <v>244</v>
      </c>
      <c r="D87">
        <f t="shared" si="1"/>
        <v>0</v>
      </c>
    </row>
    <row r="88" spans="1:4" x14ac:dyDescent="0.3">
      <c r="A88" s="5" t="b">
        <v>0</v>
      </c>
      <c r="B88" s="10" t="s">
        <v>118</v>
      </c>
      <c r="D88">
        <f t="shared" si="1"/>
        <v>0</v>
      </c>
    </row>
    <row r="89" spans="1:4" x14ac:dyDescent="0.3">
      <c r="A89" s="5" t="b">
        <v>0</v>
      </c>
      <c r="B89" s="10" t="s">
        <v>241</v>
      </c>
      <c r="D89">
        <f t="shared" si="1"/>
        <v>0</v>
      </c>
    </row>
    <row r="90" spans="1:4" x14ac:dyDescent="0.3">
      <c r="A90" s="5" t="b">
        <v>0</v>
      </c>
      <c r="B90" s="10" t="s">
        <v>113</v>
      </c>
      <c r="D90">
        <f t="shared" si="1"/>
        <v>0</v>
      </c>
    </row>
    <row r="91" spans="1:4" x14ac:dyDescent="0.3">
      <c r="A91" s="5" t="b">
        <v>0</v>
      </c>
      <c r="B91" s="10" t="s">
        <v>114</v>
      </c>
      <c r="D91">
        <f t="shared" si="1"/>
        <v>0</v>
      </c>
    </row>
    <row r="92" spans="1:4" x14ac:dyDescent="0.3">
      <c r="A92" s="5" t="b">
        <v>0</v>
      </c>
      <c r="B92" s="10" t="s">
        <v>242</v>
      </c>
      <c r="D92">
        <f t="shared" si="1"/>
        <v>0</v>
      </c>
    </row>
    <row r="93" spans="1:4" x14ac:dyDescent="0.3">
      <c r="A93" s="5" t="b">
        <v>0</v>
      </c>
      <c r="B93" s="10" t="s">
        <v>115</v>
      </c>
      <c r="D93">
        <f t="shared" si="1"/>
        <v>0</v>
      </c>
    </row>
    <row r="94" spans="1:4" x14ac:dyDescent="0.3">
      <c r="A94" s="5" t="b">
        <v>0</v>
      </c>
      <c r="B94" s="10" t="s">
        <v>116</v>
      </c>
      <c r="D94">
        <f t="shared" si="1"/>
        <v>0</v>
      </c>
    </row>
    <row r="95" spans="1:4" x14ac:dyDescent="0.3">
      <c r="A95" s="5" t="b">
        <v>0</v>
      </c>
      <c r="B95" s="10" t="s">
        <v>243</v>
      </c>
      <c r="D95">
        <f t="shared" si="1"/>
        <v>0</v>
      </c>
    </row>
    <row r="96" spans="1:4" ht="31.2" x14ac:dyDescent="0.3">
      <c r="A96" s="5" t="b">
        <v>0</v>
      </c>
      <c r="B96" s="1" t="s">
        <v>119</v>
      </c>
      <c r="D96">
        <f t="shared" si="1"/>
        <v>0</v>
      </c>
    </row>
    <row r="97" spans="1:4" x14ac:dyDescent="0.3">
      <c r="A97" s="5" t="b">
        <v>0</v>
      </c>
      <c r="B97" t="s">
        <v>73</v>
      </c>
      <c r="D97">
        <f t="shared" si="1"/>
        <v>0</v>
      </c>
    </row>
    <row r="98" spans="1:4" x14ac:dyDescent="0.3">
      <c r="A98" s="5" t="b">
        <v>0</v>
      </c>
      <c r="B98" t="s">
        <v>74</v>
      </c>
      <c r="D98">
        <f t="shared" si="1"/>
        <v>0</v>
      </c>
    </row>
    <row r="99" spans="1:4" x14ac:dyDescent="0.3">
      <c r="A99" s="5" t="b">
        <v>0</v>
      </c>
      <c r="B99" t="s">
        <v>75</v>
      </c>
      <c r="D99">
        <f t="shared" si="1"/>
        <v>0</v>
      </c>
    </row>
    <row r="100" spans="1:4" x14ac:dyDescent="0.3">
      <c r="A100" s="5" t="b">
        <v>0</v>
      </c>
      <c r="B100" s="10" t="s">
        <v>120</v>
      </c>
      <c r="D100">
        <f t="shared" si="1"/>
        <v>0</v>
      </c>
    </row>
    <row r="101" spans="1:4" x14ac:dyDescent="0.3">
      <c r="A101" s="5" t="b">
        <v>0</v>
      </c>
      <c r="B101" t="s">
        <v>248</v>
      </c>
      <c r="D101">
        <f t="shared" si="1"/>
        <v>0</v>
      </c>
    </row>
    <row r="102" spans="1:4" x14ac:dyDescent="0.3">
      <c r="A102" s="5" t="b">
        <v>0</v>
      </c>
      <c r="B102" t="s">
        <v>76</v>
      </c>
      <c r="D102">
        <f t="shared" si="1"/>
        <v>0</v>
      </c>
    </row>
    <row r="103" spans="1:4" x14ac:dyDescent="0.3">
      <c r="A103" s="5" t="b">
        <v>0</v>
      </c>
      <c r="B103" t="s">
        <v>77</v>
      </c>
      <c r="D103">
        <f t="shared" si="1"/>
        <v>0</v>
      </c>
    </row>
    <row r="104" spans="1:4" x14ac:dyDescent="0.3">
      <c r="A104" s="5" t="b">
        <v>0</v>
      </c>
      <c r="B104" t="s">
        <v>78</v>
      </c>
      <c r="D104">
        <f t="shared" si="1"/>
        <v>0</v>
      </c>
    </row>
    <row r="105" spans="1:4" x14ac:dyDescent="0.3">
      <c r="A105" s="5" t="b">
        <v>0</v>
      </c>
      <c r="B105" t="s">
        <v>80</v>
      </c>
      <c r="D105">
        <f t="shared" si="1"/>
        <v>0</v>
      </c>
    </row>
    <row r="106" spans="1:4" x14ac:dyDescent="0.3">
      <c r="A106" s="5" t="b">
        <v>0</v>
      </c>
      <c r="B106" s="10" t="s">
        <v>81</v>
      </c>
      <c r="D106">
        <f t="shared" si="1"/>
        <v>0</v>
      </c>
    </row>
    <row r="107" spans="1:4" x14ac:dyDescent="0.3">
      <c r="A107" s="5" t="b">
        <v>0</v>
      </c>
      <c r="B107" t="s">
        <v>81</v>
      </c>
      <c r="D107">
        <f t="shared" si="1"/>
        <v>0</v>
      </c>
    </row>
    <row r="108" spans="1:4" x14ac:dyDescent="0.3">
      <c r="A108" s="5" t="b">
        <v>0</v>
      </c>
      <c r="B108" t="s">
        <v>82</v>
      </c>
      <c r="D108">
        <f t="shared" si="1"/>
        <v>0</v>
      </c>
    </row>
    <row r="109" spans="1:4" x14ac:dyDescent="0.3">
      <c r="A109" s="5" t="b">
        <v>0</v>
      </c>
      <c r="B109" t="s">
        <v>84</v>
      </c>
      <c r="D109">
        <f t="shared" si="1"/>
        <v>0</v>
      </c>
    </row>
    <row r="110" spans="1:4" x14ac:dyDescent="0.3">
      <c r="A110" s="5" t="b">
        <v>0</v>
      </c>
      <c r="B110" t="s">
        <v>85</v>
      </c>
      <c r="D110">
        <f t="shared" si="1"/>
        <v>0</v>
      </c>
    </row>
    <row r="111" spans="1:4" x14ac:dyDescent="0.3">
      <c r="A111" s="5" t="b">
        <v>0</v>
      </c>
      <c r="B111" t="s">
        <v>86</v>
      </c>
      <c r="D111">
        <f t="shared" si="1"/>
        <v>0</v>
      </c>
    </row>
    <row r="112" spans="1:4" x14ac:dyDescent="0.3">
      <c r="A112" s="5" t="b">
        <v>0</v>
      </c>
      <c r="B112" s="10" t="s">
        <v>121</v>
      </c>
      <c r="D112">
        <f t="shared" si="1"/>
        <v>0</v>
      </c>
    </row>
    <row r="113" spans="1:4" x14ac:dyDescent="0.3">
      <c r="A113" s="5" t="b">
        <v>0</v>
      </c>
      <c r="B113" t="s">
        <v>87</v>
      </c>
      <c r="D113">
        <f t="shared" si="1"/>
        <v>0</v>
      </c>
    </row>
    <row r="114" spans="1:4" x14ac:dyDescent="0.3">
      <c r="A114" s="5" t="b">
        <v>0</v>
      </c>
      <c r="B114" t="s">
        <v>88</v>
      </c>
      <c r="D114">
        <f t="shared" si="1"/>
        <v>0</v>
      </c>
    </row>
    <row r="115" spans="1:4" x14ac:dyDescent="0.3">
      <c r="A115" s="5" t="b">
        <v>0</v>
      </c>
      <c r="B115" t="s">
        <v>89</v>
      </c>
      <c r="D115">
        <f t="shared" si="1"/>
        <v>0</v>
      </c>
    </row>
    <row r="116" spans="1:4" x14ac:dyDescent="0.3">
      <c r="A116" s="5" t="b">
        <v>0</v>
      </c>
      <c r="B116" t="s">
        <v>90</v>
      </c>
      <c r="D116">
        <f t="shared" si="1"/>
        <v>0</v>
      </c>
    </row>
    <row r="117" spans="1:4" x14ac:dyDescent="0.3">
      <c r="A117" s="5" t="b">
        <v>0</v>
      </c>
      <c r="B117" t="s">
        <v>92</v>
      </c>
      <c r="D117">
        <f t="shared" si="1"/>
        <v>0</v>
      </c>
    </row>
    <row r="118" spans="1:4" x14ac:dyDescent="0.3">
      <c r="A118" s="5" t="b">
        <v>0</v>
      </c>
      <c r="B118" t="s">
        <v>93</v>
      </c>
      <c r="D118">
        <f t="shared" si="1"/>
        <v>0</v>
      </c>
    </row>
    <row r="119" spans="1:4" x14ac:dyDescent="0.3">
      <c r="A119" s="5" t="b">
        <v>0</v>
      </c>
      <c r="B119" t="s">
        <v>94</v>
      </c>
      <c r="D119">
        <f t="shared" si="1"/>
        <v>0</v>
      </c>
    </row>
    <row r="120" spans="1:4" x14ac:dyDescent="0.3">
      <c r="A120" s="5" t="b">
        <v>0</v>
      </c>
      <c r="B120" t="s">
        <v>95</v>
      </c>
      <c r="D120">
        <f t="shared" si="1"/>
        <v>0</v>
      </c>
    </row>
    <row r="121" spans="1:4" x14ac:dyDescent="0.3">
      <c r="A121" s="5" t="b">
        <v>0</v>
      </c>
      <c r="B121" s="10" t="s">
        <v>122</v>
      </c>
      <c r="D121">
        <f t="shared" si="1"/>
        <v>0</v>
      </c>
    </row>
    <row r="122" spans="1:4" x14ac:dyDescent="0.3">
      <c r="A122" s="5" t="b">
        <v>0</v>
      </c>
      <c r="B122" t="s">
        <v>96</v>
      </c>
      <c r="D122">
        <f t="shared" si="1"/>
        <v>0</v>
      </c>
    </row>
    <row r="123" spans="1:4" x14ac:dyDescent="0.3">
      <c r="A123" s="5" t="b">
        <v>0</v>
      </c>
      <c r="B123" s="10" t="s">
        <v>246</v>
      </c>
      <c r="D123">
        <f t="shared" si="1"/>
        <v>0</v>
      </c>
    </row>
    <row r="124" spans="1:4" x14ac:dyDescent="0.3">
      <c r="A124" s="5" t="b">
        <v>0</v>
      </c>
      <c r="B124" t="s">
        <v>97</v>
      </c>
      <c r="D124">
        <f t="shared" si="1"/>
        <v>0</v>
      </c>
    </row>
    <row r="125" spans="1:4" x14ac:dyDescent="0.3">
      <c r="A125" s="5" t="b">
        <v>0</v>
      </c>
      <c r="B125" t="s">
        <v>98</v>
      </c>
      <c r="D125">
        <f t="shared" si="1"/>
        <v>0</v>
      </c>
    </row>
    <row r="126" spans="1:4" x14ac:dyDescent="0.3">
      <c r="A126" s="5" t="b">
        <v>0</v>
      </c>
      <c r="B126" t="s">
        <v>99</v>
      </c>
      <c r="D126">
        <f t="shared" si="1"/>
        <v>0</v>
      </c>
    </row>
    <row r="127" spans="1:4" x14ac:dyDescent="0.3">
      <c r="A127" s="5" t="b">
        <v>0</v>
      </c>
      <c r="B127" t="s">
        <v>100</v>
      </c>
      <c r="D127">
        <f t="shared" si="1"/>
        <v>0</v>
      </c>
    </row>
    <row r="128" spans="1:4" x14ac:dyDescent="0.3">
      <c r="A128" s="5" t="b">
        <v>0</v>
      </c>
      <c r="B128" t="s">
        <v>101</v>
      </c>
      <c r="D128">
        <f t="shared" si="1"/>
        <v>0</v>
      </c>
    </row>
    <row r="129" spans="1:4" x14ac:dyDescent="0.3">
      <c r="A129" s="5" t="b">
        <v>0</v>
      </c>
      <c r="B129" t="s">
        <v>102</v>
      </c>
      <c r="D129">
        <f t="shared" si="1"/>
        <v>0</v>
      </c>
    </row>
    <row r="130" spans="1:4" x14ac:dyDescent="0.3">
      <c r="A130" s="5" t="b">
        <v>0</v>
      </c>
      <c r="B130" s="10" t="s">
        <v>104</v>
      </c>
      <c r="D130">
        <f t="shared" si="1"/>
        <v>0</v>
      </c>
    </row>
    <row r="131" spans="1:4" x14ac:dyDescent="0.3">
      <c r="A131" s="5" t="b">
        <v>0</v>
      </c>
      <c r="B131" t="s">
        <v>105</v>
      </c>
      <c r="D131">
        <f t="shared" si="1"/>
        <v>0</v>
      </c>
    </row>
    <row r="132" spans="1:4" x14ac:dyDescent="0.3">
      <c r="A132" s="5" t="b">
        <v>0</v>
      </c>
      <c r="B132" t="s">
        <v>106</v>
      </c>
      <c r="D132">
        <f t="shared" si="1"/>
        <v>0</v>
      </c>
    </row>
    <row r="133" spans="1:4" x14ac:dyDescent="0.3">
      <c r="A133" s="5" t="b">
        <v>0</v>
      </c>
      <c r="B133" t="s">
        <v>107</v>
      </c>
      <c r="D133">
        <f t="shared" si="1"/>
        <v>0</v>
      </c>
    </row>
    <row r="134" spans="1:4" x14ac:dyDescent="0.3">
      <c r="A134" s="5" t="b">
        <v>0</v>
      </c>
      <c r="B134" t="s">
        <v>109</v>
      </c>
      <c r="D134">
        <f t="shared" si="1"/>
        <v>0</v>
      </c>
    </row>
    <row r="135" spans="1:4" x14ac:dyDescent="0.3">
      <c r="A135" s="5" t="b">
        <v>0</v>
      </c>
      <c r="B135" s="10" t="s">
        <v>110</v>
      </c>
      <c r="D135">
        <f t="shared" si="1"/>
        <v>0</v>
      </c>
    </row>
    <row r="136" spans="1:4" x14ac:dyDescent="0.3">
      <c r="A136" s="5" t="b">
        <v>0</v>
      </c>
      <c r="B136" t="s">
        <v>110</v>
      </c>
      <c r="D136">
        <f t="shared" si="1"/>
        <v>0</v>
      </c>
    </row>
    <row r="137" spans="1:4" x14ac:dyDescent="0.3">
      <c r="A137" s="5" t="b">
        <v>0</v>
      </c>
      <c r="B137" t="s">
        <v>249</v>
      </c>
      <c r="D137">
        <f t="shared" si="1"/>
        <v>0</v>
      </c>
    </row>
    <row r="138" spans="1:4" ht="31.2" x14ac:dyDescent="0.3">
      <c r="A138" s="5" t="b">
        <v>0</v>
      </c>
      <c r="B138" s="1" t="s">
        <v>123</v>
      </c>
      <c r="D138">
        <f t="shared" ref="D138:D189" si="2">IF(A138,C138,0)</f>
        <v>0</v>
      </c>
    </row>
    <row r="139" spans="1:4" x14ac:dyDescent="0.3">
      <c r="A139" s="5" t="b">
        <v>0</v>
      </c>
      <c r="B139" s="10" t="s">
        <v>124</v>
      </c>
      <c r="D139">
        <f t="shared" si="2"/>
        <v>0</v>
      </c>
    </row>
    <row r="140" spans="1:4" x14ac:dyDescent="0.3">
      <c r="A140" s="5" t="b">
        <v>0</v>
      </c>
      <c r="B140" s="10" t="s">
        <v>125</v>
      </c>
      <c r="D140">
        <f t="shared" si="2"/>
        <v>0</v>
      </c>
    </row>
    <row r="141" spans="1:4" x14ac:dyDescent="0.3">
      <c r="A141" s="5" t="b">
        <v>0</v>
      </c>
      <c r="B141" s="10" t="s">
        <v>126</v>
      </c>
      <c r="D141">
        <f t="shared" si="2"/>
        <v>0</v>
      </c>
    </row>
    <row r="142" spans="1:4" x14ac:dyDescent="0.3">
      <c r="A142" s="5" t="b">
        <v>0</v>
      </c>
      <c r="B142" s="10" t="s">
        <v>127</v>
      </c>
      <c r="D142">
        <f t="shared" si="2"/>
        <v>0</v>
      </c>
    </row>
    <row r="143" spans="1:4" x14ac:dyDescent="0.3">
      <c r="A143" s="5" t="b">
        <v>0</v>
      </c>
      <c r="B143" s="10" t="s">
        <v>128</v>
      </c>
      <c r="D143">
        <f t="shared" si="2"/>
        <v>0</v>
      </c>
    </row>
    <row r="144" spans="1:4" x14ac:dyDescent="0.3">
      <c r="A144" s="5" t="b">
        <v>0</v>
      </c>
      <c r="B144" s="10" t="s">
        <v>129</v>
      </c>
      <c r="D144">
        <f t="shared" si="2"/>
        <v>0</v>
      </c>
    </row>
    <row r="145" spans="1:4" ht="31.2" x14ac:dyDescent="0.3">
      <c r="A145" s="5" t="b">
        <v>0</v>
      </c>
      <c r="B145" s="1" t="s">
        <v>130</v>
      </c>
      <c r="D145">
        <f t="shared" si="2"/>
        <v>0</v>
      </c>
    </row>
    <row r="146" spans="1:4" x14ac:dyDescent="0.3">
      <c r="A146" s="5" t="b">
        <v>0</v>
      </c>
      <c r="B146" t="s">
        <v>131</v>
      </c>
      <c r="D146">
        <f t="shared" si="2"/>
        <v>0</v>
      </c>
    </row>
    <row r="147" spans="1:4" x14ac:dyDescent="0.3">
      <c r="A147" s="5" t="b">
        <v>0</v>
      </c>
      <c r="B147" t="s">
        <v>132</v>
      </c>
      <c r="D147">
        <f t="shared" si="2"/>
        <v>0</v>
      </c>
    </row>
    <row r="148" spans="1:4" x14ac:dyDescent="0.3">
      <c r="A148" s="5" t="b">
        <v>0</v>
      </c>
      <c r="B148" t="s">
        <v>133</v>
      </c>
      <c r="D148">
        <f t="shared" si="2"/>
        <v>0</v>
      </c>
    </row>
    <row r="149" spans="1:4" x14ac:dyDescent="0.3">
      <c r="A149" s="5" t="b">
        <v>0</v>
      </c>
      <c r="B149" t="s">
        <v>134</v>
      </c>
      <c r="D149">
        <f t="shared" si="2"/>
        <v>0</v>
      </c>
    </row>
    <row r="150" spans="1:4" x14ac:dyDescent="0.3">
      <c r="A150" s="5" t="b">
        <v>0</v>
      </c>
      <c r="B150" t="s">
        <v>135</v>
      </c>
      <c r="D150">
        <f t="shared" si="2"/>
        <v>0</v>
      </c>
    </row>
    <row r="151" spans="1:4" x14ac:dyDescent="0.3">
      <c r="A151" s="5" t="b">
        <v>0</v>
      </c>
      <c r="B151" t="s">
        <v>136</v>
      </c>
      <c r="D151">
        <f t="shared" si="2"/>
        <v>0</v>
      </c>
    </row>
    <row r="152" spans="1:4" x14ac:dyDescent="0.3">
      <c r="A152" s="5" t="b">
        <v>0</v>
      </c>
      <c r="B152" t="s">
        <v>137</v>
      </c>
      <c r="D152">
        <f t="shared" si="2"/>
        <v>0</v>
      </c>
    </row>
    <row r="153" spans="1:4" x14ac:dyDescent="0.3">
      <c r="A153" s="5" t="b">
        <v>0</v>
      </c>
      <c r="B153" t="s">
        <v>138</v>
      </c>
      <c r="D153">
        <f t="shared" si="2"/>
        <v>0</v>
      </c>
    </row>
    <row r="154" spans="1:4" x14ac:dyDescent="0.3">
      <c r="A154" s="5" t="b">
        <v>0</v>
      </c>
      <c r="B154" t="s">
        <v>139</v>
      </c>
      <c r="D154">
        <f t="shared" si="2"/>
        <v>0</v>
      </c>
    </row>
    <row r="155" spans="1:4" x14ac:dyDescent="0.3">
      <c r="A155" s="5" t="b">
        <v>0</v>
      </c>
      <c r="B155" t="s">
        <v>140</v>
      </c>
      <c r="D155">
        <f t="shared" si="2"/>
        <v>0</v>
      </c>
    </row>
    <row r="156" spans="1:4" x14ac:dyDescent="0.3">
      <c r="A156" s="5" t="b">
        <v>0</v>
      </c>
      <c r="B156" t="s">
        <v>141</v>
      </c>
      <c r="D156">
        <f t="shared" si="2"/>
        <v>0</v>
      </c>
    </row>
    <row r="157" spans="1:4" x14ac:dyDescent="0.3">
      <c r="A157" s="5" t="b">
        <v>0</v>
      </c>
      <c r="B157" t="s">
        <v>142</v>
      </c>
      <c r="D157">
        <f t="shared" si="2"/>
        <v>0</v>
      </c>
    </row>
    <row r="158" spans="1:4" x14ac:dyDescent="0.3">
      <c r="A158" s="5" t="b">
        <v>0</v>
      </c>
      <c r="B158" t="s">
        <v>143</v>
      </c>
      <c r="D158">
        <f t="shared" si="2"/>
        <v>0</v>
      </c>
    </row>
    <row r="159" spans="1:4" x14ac:dyDescent="0.3">
      <c r="A159" s="5" t="b">
        <v>0</v>
      </c>
      <c r="B159" t="s">
        <v>144</v>
      </c>
      <c r="D159">
        <f t="shared" si="2"/>
        <v>0</v>
      </c>
    </row>
    <row r="160" spans="1:4" x14ac:dyDescent="0.3">
      <c r="A160" s="5" t="b">
        <v>0</v>
      </c>
      <c r="B160" t="s">
        <v>145</v>
      </c>
      <c r="D160">
        <f t="shared" si="2"/>
        <v>0</v>
      </c>
    </row>
    <row r="161" spans="1:4" x14ac:dyDescent="0.3">
      <c r="A161" s="5" t="b">
        <v>0</v>
      </c>
      <c r="B161" t="s">
        <v>146</v>
      </c>
      <c r="D161">
        <f t="shared" si="2"/>
        <v>0</v>
      </c>
    </row>
    <row r="162" spans="1:4" x14ac:dyDescent="0.3">
      <c r="A162" s="5" t="b">
        <v>0</v>
      </c>
      <c r="B162" t="s">
        <v>147</v>
      </c>
      <c r="D162">
        <f t="shared" si="2"/>
        <v>0</v>
      </c>
    </row>
    <row r="163" spans="1:4" x14ac:dyDescent="0.3">
      <c r="A163" s="5" t="b">
        <v>0</v>
      </c>
      <c r="B163" t="s">
        <v>148</v>
      </c>
      <c r="D163">
        <f t="shared" si="2"/>
        <v>0</v>
      </c>
    </row>
    <row r="164" spans="1:4" x14ac:dyDescent="0.3">
      <c r="A164" s="5" t="b">
        <v>0</v>
      </c>
      <c r="B164" t="s">
        <v>149</v>
      </c>
      <c r="D164">
        <f t="shared" si="2"/>
        <v>0</v>
      </c>
    </row>
    <row r="165" spans="1:4" x14ac:dyDescent="0.3">
      <c r="A165" s="5" t="b">
        <v>0</v>
      </c>
      <c r="B165" t="s">
        <v>150</v>
      </c>
      <c r="D165">
        <f t="shared" si="2"/>
        <v>0</v>
      </c>
    </row>
    <row r="166" spans="1:4" x14ac:dyDescent="0.3">
      <c r="A166" s="5" t="b">
        <v>0</v>
      </c>
      <c r="B166" t="s">
        <v>151</v>
      </c>
      <c r="D166">
        <f t="shared" si="2"/>
        <v>0</v>
      </c>
    </row>
    <row r="167" spans="1:4" x14ac:dyDescent="0.3">
      <c r="A167" s="5" t="b">
        <v>0</v>
      </c>
      <c r="B167" t="s">
        <v>152</v>
      </c>
      <c r="D167">
        <f t="shared" si="2"/>
        <v>0</v>
      </c>
    </row>
    <row r="168" spans="1:4" x14ac:dyDescent="0.3">
      <c r="A168" s="5" t="b">
        <v>0</v>
      </c>
      <c r="B168" t="s">
        <v>153</v>
      </c>
      <c r="D168">
        <f t="shared" si="2"/>
        <v>0</v>
      </c>
    </row>
    <row r="169" spans="1:4" x14ac:dyDescent="0.3">
      <c r="A169" s="5" t="b">
        <v>0</v>
      </c>
      <c r="B169" t="s">
        <v>154</v>
      </c>
      <c r="D169">
        <f t="shared" si="2"/>
        <v>0</v>
      </c>
    </row>
    <row r="170" spans="1:4" ht="31.2" x14ac:dyDescent="0.6">
      <c r="A170" s="5" t="b">
        <v>0</v>
      </c>
      <c r="B170" s="9" t="s">
        <v>155</v>
      </c>
      <c r="D170">
        <f t="shared" si="2"/>
        <v>0</v>
      </c>
    </row>
    <row r="171" spans="1:4" x14ac:dyDescent="0.3">
      <c r="A171" s="5" t="b">
        <v>0</v>
      </c>
      <c r="B171" t="s">
        <v>156</v>
      </c>
      <c r="D171">
        <f t="shared" si="2"/>
        <v>0</v>
      </c>
    </row>
    <row r="172" spans="1:4" x14ac:dyDescent="0.3">
      <c r="A172" s="5" t="b">
        <v>0</v>
      </c>
      <c r="B172" t="s">
        <v>157</v>
      </c>
      <c r="D172">
        <f t="shared" si="2"/>
        <v>0</v>
      </c>
    </row>
    <row r="173" spans="1:4" ht="31.2" x14ac:dyDescent="0.6">
      <c r="A173" s="5" t="b">
        <v>0</v>
      </c>
      <c r="B173" s="9" t="s">
        <v>158</v>
      </c>
      <c r="D173">
        <f t="shared" si="2"/>
        <v>0</v>
      </c>
    </row>
    <row r="174" spans="1:4" x14ac:dyDescent="0.3">
      <c r="A174" s="5" t="b">
        <v>0</v>
      </c>
      <c r="B174" t="s">
        <v>159</v>
      </c>
      <c r="D174">
        <f t="shared" si="2"/>
        <v>0</v>
      </c>
    </row>
    <row r="175" spans="1:4" x14ac:dyDescent="0.3">
      <c r="A175" s="5" t="b">
        <v>0</v>
      </c>
      <c r="B175" t="s">
        <v>160</v>
      </c>
      <c r="D175">
        <f t="shared" si="2"/>
        <v>0</v>
      </c>
    </row>
    <row r="176" spans="1:4" x14ac:dyDescent="0.3">
      <c r="A176" s="5" t="b">
        <v>0</v>
      </c>
      <c r="B176" t="s">
        <v>161</v>
      </c>
      <c r="D176">
        <f t="shared" si="2"/>
        <v>0</v>
      </c>
    </row>
    <row r="177" spans="1:4" x14ac:dyDescent="0.3">
      <c r="A177" s="5" t="b">
        <v>0</v>
      </c>
      <c r="B177" t="s">
        <v>162</v>
      </c>
      <c r="D177">
        <f t="shared" si="2"/>
        <v>0</v>
      </c>
    </row>
    <row r="178" spans="1:4" x14ac:dyDescent="0.3">
      <c r="A178" s="5" t="b">
        <v>0</v>
      </c>
      <c r="B178" t="s">
        <v>163</v>
      </c>
      <c r="D178">
        <f t="shared" si="2"/>
        <v>0</v>
      </c>
    </row>
    <row r="179" spans="1:4" x14ac:dyDescent="0.3">
      <c r="A179" s="5" t="b">
        <v>0</v>
      </c>
      <c r="B179" t="s">
        <v>164</v>
      </c>
      <c r="D179">
        <f t="shared" si="2"/>
        <v>0</v>
      </c>
    </row>
    <row r="180" spans="1:4" x14ac:dyDescent="0.3">
      <c r="A180" s="5" t="b">
        <v>0</v>
      </c>
      <c r="B180" t="s">
        <v>165</v>
      </c>
      <c r="D180">
        <f t="shared" si="2"/>
        <v>0</v>
      </c>
    </row>
    <row r="181" spans="1:4" x14ac:dyDescent="0.3">
      <c r="A181" s="5" t="b">
        <v>0</v>
      </c>
      <c r="B181" t="s">
        <v>166</v>
      </c>
      <c r="D181">
        <f t="shared" si="2"/>
        <v>0</v>
      </c>
    </row>
    <row r="182" spans="1:4" ht="31.2" x14ac:dyDescent="0.6">
      <c r="A182" s="5" t="b">
        <v>0</v>
      </c>
      <c r="B182" s="9" t="s">
        <v>123</v>
      </c>
      <c r="D182">
        <f t="shared" si="2"/>
        <v>0</v>
      </c>
    </row>
    <row r="183" spans="1:4" x14ac:dyDescent="0.3">
      <c r="A183" s="5" t="b">
        <v>0</v>
      </c>
      <c r="B183" t="s">
        <v>167</v>
      </c>
      <c r="D183">
        <f t="shared" si="2"/>
        <v>0</v>
      </c>
    </row>
    <row r="184" spans="1:4" x14ac:dyDescent="0.3">
      <c r="A184" s="5" t="b">
        <v>0</v>
      </c>
      <c r="B184" t="s">
        <v>168</v>
      </c>
      <c r="D184">
        <f t="shared" si="2"/>
        <v>0</v>
      </c>
    </row>
    <row r="185" spans="1:4" x14ac:dyDescent="0.3">
      <c r="A185" s="5" t="b">
        <v>0</v>
      </c>
      <c r="B185" t="s">
        <v>169</v>
      </c>
      <c r="D185">
        <f t="shared" si="2"/>
        <v>0</v>
      </c>
    </row>
    <row r="186" spans="1:4" x14ac:dyDescent="0.3">
      <c r="A186" s="5" t="b">
        <v>0</v>
      </c>
      <c r="B186" t="s">
        <v>170</v>
      </c>
      <c r="D186">
        <f t="shared" si="2"/>
        <v>0</v>
      </c>
    </row>
    <row r="187" spans="1:4" x14ac:dyDescent="0.3">
      <c r="A187" s="5" t="b">
        <v>0</v>
      </c>
      <c r="B187" t="s">
        <v>250</v>
      </c>
      <c r="D187">
        <f t="shared" si="2"/>
        <v>0</v>
      </c>
    </row>
    <row r="188" spans="1:4" x14ac:dyDescent="0.3">
      <c r="A188" s="5" t="b">
        <v>0</v>
      </c>
      <c r="B188" t="s">
        <v>171</v>
      </c>
      <c r="D188">
        <f t="shared" si="2"/>
        <v>0</v>
      </c>
    </row>
    <row r="189" spans="1:4" x14ac:dyDescent="0.3">
      <c r="A189" s="5" t="b">
        <v>0</v>
      </c>
      <c r="B189" t="s">
        <v>172</v>
      </c>
      <c r="D189">
        <f t="shared" si="2"/>
        <v>0</v>
      </c>
    </row>
  </sheetData>
  <autoFilter ref="A1:D188" xr:uid="{146CC15E-953F-4C04-91F6-AE7DE63AF008}"/>
  <sortState xmlns:xlrd2="http://schemas.microsoft.com/office/spreadsheetml/2017/richdata2" ref="B140:B145">
    <sortCondition ref="B145"/>
  </sortState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Nákupní seznam</vt:lpstr>
      <vt:lpstr>Recept</vt:lpstr>
      <vt:lpstr>Špajz</vt:lpstr>
    </vt:vector>
  </TitlesOfParts>
  <Manager/>
  <Company>Konica Minolta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Slansky, Vojtech</dc:creator>
  <cp:keywords/>
  <dc:description/>
  <cp:lastModifiedBy>Vojtech Slansky</cp:lastModifiedBy>
  <cp:revision/>
  <dcterms:created xsi:type="dcterms:W3CDTF">2024-10-27T09:40:53Z</dcterms:created>
  <dcterms:modified xsi:type="dcterms:W3CDTF">2026-02-16T17:03:47Z</dcterms:modified>
  <cp:category/>
  <cp:contentStatus/>
</cp:coreProperties>
</file>