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afc423444527fa/Documents/Organizace/Strava/"/>
    </mc:Choice>
  </mc:AlternateContent>
  <xr:revisionPtr revIDLastSave="1149" documentId="8_{12251261-4F48-4613-850D-074DC458E0E1}" xr6:coauthVersionLast="47" xr6:coauthVersionMax="47" xr10:uidLastSave="{4E1FA57C-F36F-4A92-A063-4FB98022511C}"/>
  <bookViews>
    <workbookView xWindow="-120" yWindow="-120" windowWidth="29040" windowHeight="15720" xr2:uid="{6CAEF809-1380-44B1-B666-5A25C2472A15}"/>
  </bookViews>
  <sheets>
    <sheet name="Jídelníček" sheetId="1" r:id="rId1"/>
    <sheet name="Denní rozpis" sheetId="5" r:id="rId2"/>
    <sheet name="Týdenní rozpis" sheetId="4" r:id="rId3"/>
    <sheet name="Měsíční rozpis" sheetId="3" r:id="rId4"/>
    <sheet name="Recepty" sheetId="6" r:id="rId5"/>
    <sheet name="Upgrades" sheetId="2" r:id="rId6"/>
    <sheet name="Lookup" sheetId="7" r:id="rId7"/>
  </sheets>
  <definedNames>
    <definedName name="_xlnm._FilterDatabase" localSheetId="0" hidden="1">Jídelníček!$C$2:$D$8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E6" i="2"/>
  <c r="E5" i="2"/>
  <c r="E4" i="2"/>
  <c r="E7" i="2"/>
  <c r="F5" i="2" s="1"/>
  <c r="F4" i="2" l="1"/>
  <c r="F6" i="2"/>
</calcChain>
</file>

<file path=xl/sharedStrings.xml><?xml version="1.0" encoding="utf-8"?>
<sst xmlns="http://schemas.openxmlformats.org/spreadsheetml/2006/main" count="252" uniqueCount="174">
  <si>
    <t>Těsto</t>
  </si>
  <si>
    <t>Týden 1</t>
  </si>
  <si>
    <t>Týden 2</t>
  </si>
  <si>
    <t>Týden 3</t>
  </si>
  <si>
    <t>Týden 4</t>
  </si>
  <si>
    <t>Pizza</t>
  </si>
  <si>
    <t>Ramen</t>
  </si>
  <si>
    <t>Lososová rýže</t>
  </si>
  <si>
    <t>Chicken curry</t>
  </si>
  <si>
    <t>Jogurt s granolou</t>
  </si>
  <si>
    <t>Scrambled eggs</t>
  </si>
  <si>
    <t>Vindaloo</t>
  </si>
  <si>
    <t>Slow cooker</t>
  </si>
  <si>
    <t>Dressing</t>
  </si>
  <si>
    <t>Quesadilla</t>
  </si>
  <si>
    <t>Sandwich</t>
  </si>
  <si>
    <t>Budhas bowl</t>
  </si>
  <si>
    <t>Salads</t>
  </si>
  <si>
    <t>Pasta</t>
  </si>
  <si>
    <t>Sourdough bread</t>
  </si>
  <si>
    <t>https://www.pantrymama.com/whole-wheat-sourdough-pizza-dough/</t>
  </si>
  <si>
    <t>Butcher whole chicken</t>
  </si>
  <si>
    <t>Beet salad</t>
  </si>
  <si>
    <t>Čerstvé bylinky do salátů</t>
  </si>
  <si>
    <t>Karbanátky</t>
  </si>
  <si>
    <t>Špíz</t>
  </si>
  <si>
    <t>Steak</t>
  </si>
  <si>
    <t>Chleba</t>
  </si>
  <si>
    <t>Snídaně</t>
  </si>
  <si>
    <t>Oběd</t>
  </si>
  <si>
    <t>Večeře</t>
  </si>
  <si>
    <t>Den</t>
  </si>
  <si>
    <t>Pondělí</t>
  </si>
  <si>
    <t>Úterý</t>
  </si>
  <si>
    <t>Středa</t>
  </si>
  <si>
    <t>Čtvrtek</t>
  </si>
  <si>
    <t>Pátek</t>
  </si>
  <si>
    <t>Sobota</t>
  </si>
  <si>
    <t>Neděle</t>
  </si>
  <si>
    <t>Prukopnické fazole</t>
  </si>
  <si>
    <t>Hummus</t>
  </si>
  <si>
    <t>Chilli con carne</t>
  </si>
  <si>
    <t>Buddhovi misky</t>
  </si>
  <si>
    <t>Smoothie</t>
  </si>
  <si>
    <t>Spinach salad</t>
  </si>
  <si>
    <t>Rozmrazit vývar, miso</t>
  </si>
  <si>
    <t>Overnight oats</t>
  </si>
  <si>
    <t>4 porce</t>
  </si>
  <si>
    <t>Připravit Vindaloo</t>
  </si>
  <si>
    <t>Připravit Kari</t>
  </si>
  <si>
    <t>Připravit chilli</t>
  </si>
  <si>
    <t>Připravit karbanátky</t>
  </si>
  <si>
    <t>Připravit špízy</t>
  </si>
  <si>
    <t>Připravit vývar pro ramen</t>
  </si>
  <si>
    <t>Připravit nudle pro ramen</t>
  </si>
  <si>
    <t>Připravit pizzu</t>
  </si>
  <si>
    <t>Připravit těstoviny</t>
  </si>
  <si>
    <t>Připravit marinádu</t>
  </si>
  <si>
    <t>Připravit dresink</t>
  </si>
  <si>
    <t>Weekly</t>
  </si>
  <si>
    <t>Trouba</t>
  </si>
  <si>
    <t>Připravit těsto na pizzu</t>
  </si>
  <si>
    <t>Plotna</t>
  </si>
  <si>
    <t>Připravit omáčku na pizzu</t>
  </si>
  <si>
    <t>Připravit kuřecí na quesadilly</t>
  </si>
  <si>
    <t>Připravit Spinach salad</t>
  </si>
  <si>
    <t>Připravit coleslaw</t>
  </si>
  <si>
    <t>Připravit greek salad</t>
  </si>
  <si>
    <t>Připravit Beet salad</t>
  </si>
  <si>
    <t>Rozmrazit vindaloo</t>
  </si>
  <si>
    <t>Rozmrazit karbanátky</t>
  </si>
  <si>
    <t>Rozmrazit kari</t>
  </si>
  <si>
    <t>Dát péct chleba</t>
  </si>
  <si>
    <t>Týden</t>
  </si>
  <si>
    <t>Počet porcí</t>
  </si>
  <si>
    <t>Počet porcí2</t>
  </si>
  <si>
    <t>Počet porcí22</t>
  </si>
  <si>
    <t>Počet porcí23</t>
  </si>
  <si>
    <t>Ostatní</t>
  </si>
  <si>
    <t>Omeleta s hráškem</t>
  </si>
  <si>
    <t>Ovesná kaše</t>
  </si>
  <si>
    <t>Jídlo</t>
  </si>
  <si>
    <t>Recept</t>
  </si>
  <si>
    <t>Coleslaw</t>
  </si>
  <si>
    <t>Greek salad</t>
  </si>
  <si>
    <t>https://www.kaloricketabulky.cz/user/settings/meal/detail/e56a344c38a44ef3952c82d91954e55f</t>
  </si>
  <si>
    <t>Kalorické tabulky</t>
  </si>
  <si>
    <t>https://www.kaloricketabulky.cz/user/settings/meal/detail/f6d64e0d1b1049a89f6e4cbbd9b73f98</t>
  </si>
  <si>
    <t>https://www.kaloricketabulky.cz/user/settings/meal/detail/21e56487fb6b4ccd8ace9bb85bf06385</t>
  </si>
  <si>
    <t>https://www.kaloricketabulky.cz/user/settings/meal/detail/9af171eb968d4cdb8f4cade35176456e</t>
  </si>
  <si>
    <t>https://www.kaloricketabulky.cz/user/settings/meal/detail/cfc441d05b554f47949e3040a5dd0231</t>
  </si>
  <si>
    <t>https://www.kaloricketabulky.cz/user/settings/meal/detail/4294f6c59ea94990b3d3097052b59d35</t>
  </si>
  <si>
    <t>https://www.kaloricketabulky.cz/user/settings/meal/detail/c84ff1a55fc74962ae7677c856527635</t>
  </si>
  <si>
    <t>https://www.kaloricketabulky.cz/user/settings/meal/detail/02b2f041814148608dcbc8acf791075b</t>
  </si>
  <si>
    <t>https://www.kaloricketabulky.cz/user/settings/meal/detail/5b1e6bff742a44718366c97dc6e51e2d</t>
  </si>
  <si>
    <t>https://www.kaloricketabulky.cz/user/settings/meal/detail/2aa9e4bd5e994f6d9ec60f411d9b5602</t>
  </si>
  <si>
    <t>https://www.kaloricketabulky.cz/user/settings/meal/detail/0893fd4521714bdba807a37db47447ee</t>
  </si>
  <si>
    <t>Marinovat steak</t>
  </si>
  <si>
    <t>Rozmrazování</t>
  </si>
  <si>
    <t>Rozmrazit chleba, karbanátky</t>
  </si>
  <si>
    <t>Rozmrazit chleba, špízy, trhané kuře, lososa</t>
  </si>
  <si>
    <t>Rozmrazit chleba, chilli, lososa, maso na buddhovi misky</t>
  </si>
  <si>
    <t>Namarinovat maso na buddhovi misky</t>
  </si>
  <si>
    <t>Marinovat lososa</t>
  </si>
  <si>
    <t>Zamrazit chleba, Připravit overnight oats</t>
  </si>
  <si>
    <t>Poznámka:</t>
  </si>
  <si>
    <t>Co udělat večer před spaním</t>
  </si>
  <si>
    <t>Granola</t>
  </si>
  <si>
    <t>Chleba se šunkou</t>
  </si>
  <si>
    <t>Úpéct chleba</t>
  </si>
  <si>
    <t>Připravit Leek salad</t>
  </si>
  <si>
    <t>https://www.kaloricketabulky.cz/user/settings/meal/detail/23eb1b421ebc4024897dc6e47920737b</t>
  </si>
  <si>
    <t>https://www.kaloricketabulky.cz/user/settings/meal/detail/1109d22c320448b1b7c74172f84936a3</t>
  </si>
  <si>
    <t>Leek</t>
  </si>
  <si>
    <t>https://www.kaloricketabulky.cz/user/settings/meal/detail/476a6b0a93a545b9b70ade0311f776ac</t>
  </si>
  <si>
    <t>https://www.kaloricketabulky.cz/user/settings/meal/detail/892edab5c9394fce8d74481c75d2acad</t>
  </si>
  <si>
    <t>https://www.kaloricketabulky.cz/user/settings/meal/detail/4a60b98a49294e5e97a86e9d43458d9b</t>
  </si>
  <si>
    <t>https://www.kaloricketabulky.cz/user/settings/meal/detail/2abf2ab9bf024cdaa15ee5eb493b8acc</t>
  </si>
  <si>
    <t>https://www.kaloricketabulky.cz/user/settings/meal/detail/8178c55665b849d38b47b58816917218</t>
  </si>
  <si>
    <t>https://www.kaloricketabulky.cz/user/settings/meal/detail/54481ac805e1471f94deb38bd71dbfcd</t>
  </si>
  <si>
    <t>https://www.kaloricketabulky.cz/user/settings/meal/detail/a21319a6c7a340449e3f007a8f9a807a</t>
  </si>
  <si>
    <t>https://www.kaloricketabulky.cz/user/settings/meal/detail/13e60a5af8ca4a0ebe5d701f4287cebe</t>
  </si>
  <si>
    <t>strouhat zelí</t>
  </si>
  <si>
    <t>zavíratelné misky</t>
  </si>
  <si>
    <t>chleba krájet až večer</t>
  </si>
  <si>
    <t>šunka s rozměry na chleba</t>
  </si>
  <si>
    <t>kus ovoce k chlebu</t>
  </si>
  <si>
    <t>vylepšit steak</t>
  </si>
  <si>
    <t>přesunout snídaně s banánem na dříve</t>
  </si>
  <si>
    <t>složitější snídaně na víkend</t>
  </si>
  <si>
    <t>půl cibule na karbanátky, půl cibule na míchaná vejce - zařadit za sebe</t>
  </si>
  <si>
    <t>otočit quesadilu aby nevytekla</t>
  </si>
  <si>
    <t>přidat ke quesadille hranolky</t>
  </si>
  <si>
    <t>https://www.loveandlemons.com/lemon-vinaigrette/</t>
  </si>
  <si>
    <t>Palačinky</t>
  </si>
  <si>
    <t>neděle - co uvaříš, to jíš. 4 jídelníčky = podle toho, co dělám v neděli</t>
  </si>
  <si>
    <t>prep quesadillas as a whole</t>
  </si>
  <si>
    <t>use tin foil for grilled foods</t>
  </si>
  <si>
    <t>carb</t>
  </si>
  <si>
    <t>protein</t>
  </si>
  <si>
    <t>fat</t>
  </si>
  <si>
    <t>chleba se šunkou = nedostatek kalorií</t>
  </si>
  <si>
    <t>marinovat a pak zamrazit</t>
  </si>
  <si>
    <t>kontrola</t>
  </si>
  <si>
    <t>česnek</t>
  </si>
  <si>
    <t>Hlavní jídla</t>
  </si>
  <si>
    <t>Kuře na kari</t>
  </si>
  <si>
    <t>Těstoviny</t>
  </si>
  <si>
    <t>Qesadilla</t>
  </si>
  <si>
    <t>Průkopnické fazole</t>
  </si>
  <si>
    <t>Hamburgery</t>
  </si>
  <si>
    <t>Špízy</t>
  </si>
  <si>
    <t>Saláty</t>
  </si>
  <si>
    <t>Řecký salát</t>
  </si>
  <si>
    <t>Špenátový</t>
  </si>
  <si>
    <t>Řepný</t>
  </si>
  <si>
    <t>Míchaná vejce</t>
  </si>
  <si>
    <t>Omeleta</t>
  </si>
  <si>
    <t>Granola s jogurtem</t>
  </si>
  <si>
    <t>Ředkvičkový</t>
  </si>
  <si>
    <t>Mrkev s jarní cibulkou</t>
  </si>
  <si>
    <t>Fazole</t>
  </si>
  <si>
    <t>Rýže</t>
  </si>
  <si>
    <t>Obiloviny</t>
  </si>
  <si>
    <t>Brambory</t>
  </si>
  <si>
    <t>ramen</t>
  </si>
  <si>
    <t>Připravit steaky</t>
  </si>
  <si>
    <t>Připravit maso na misky a ramen</t>
  </si>
  <si>
    <t>Quesadilly</t>
  </si>
  <si>
    <t>Chilli</t>
  </si>
  <si>
    <t>Kari</t>
  </si>
  <si>
    <t>Steaky</t>
  </si>
  <si>
    <t>https://www.biggerbolderbaking.com/homemade-whole-wheat-pasta/</t>
  </si>
  <si>
    <t>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</si>
</sst>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2" fillId="2" borderId="0" xfId="1"/>
    <xf numFmtId="0" fontId="1" fillId="3" borderId="2" xfId="0" applyFont="1" applyFill="1" applyBorder="1"/>
    <xf numFmtId="0" fontId="1" fillId="0" borderId="2" xfId="0" applyFont="1" applyBorder="1"/>
    <xf numFmtId="0" fontId="4" fillId="0" borderId="0" xfId="2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7" borderId="0" xfId="0" applyFont="1" applyFill="1"/>
    <xf numFmtId="0" fontId="2" fillId="6" borderId="0" xfId="0" applyFont="1" applyFill="1"/>
    <xf numFmtId="0" fontId="0" fillId="7" borderId="0" xfId="0" applyFill="1"/>
  </cellXfs>
  <cellStyles count="3">
    <cellStyle name="Accent1" xfId="1" builtinId="29"/>
    <cellStyle name="Hyperlink" xfId="2" builtinId="8"/>
    <cellStyle name="Normal" xfId="0" builtinId="0"/>
  </cellStyles>
  <dxfs count="5">
    <dxf>
      <font>
        <b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01C9E-BF5B-4DB8-BD4A-546D285A66ED}" name="Table1" displayName="Table1" ref="A1:D8" totalsRowShown="0">
  <tableColumns count="4">
    <tableColumn id="1" xr3:uid="{06A07455-4AC3-4514-A897-FE1EB630B9B4}" name="Den" dataCellStyle="Accent1"/>
    <tableColumn id="2" xr3:uid="{7E425435-7F72-47A6-99B4-B7A5F15B3AA3}" name="Snídaně" dataDxfId="4"/>
    <tableColumn id="4" xr3:uid="{6C042D75-3994-426D-819E-906B93B0C1AC}" name="Oběd" dataDxfId="3"/>
    <tableColumn id="9" xr3:uid="{33F4BA4F-7DB2-4ED9-BA08-03D7C3762BDD}" name="Večeř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45A471-AEF8-40DA-9A3F-597B42F973C8}" name="Table4" displayName="Table4" ref="A1:C8" totalsRowShown="0" tableBorderDxfId="1" headerRowCellStyle="Normal" dataCellStyle="Normal">
  <autoFilter ref="A1:C8" xr:uid="{8945A471-AEF8-40DA-9A3F-597B42F973C8}"/>
  <tableColumns count="3">
    <tableColumn id="5" xr3:uid="{1672B8DB-1EC4-46C9-9CEE-B1D35D575A8C}" name="Den" dataDxfId="0" dataCellStyle="Normal"/>
    <tableColumn id="1" xr3:uid="{9072C15B-59B6-4D4C-81C3-8D55EA5466C8}" name="Rozmrazování" dataCellStyle="Normal"/>
    <tableColumn id="2" xr3:uid="{503B255F-AD65-4F70-A2CE-DADA4B8FBDE3}" name="Ostatní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F2D63A-D9B3-4BAC-BD73-5F9BDFD49939}" name="Table3" displayName="Table3" ref="A1:A9" totalsRowShown="0">
  <autoFilter ref="A1:A9" xr:uid="{50F2D63A-D9B3-4BAC-BD73-5F9BDFD49939}"/>
  <tableColumns count="1">
    <tableColumn id="1" xr3:uid="{FAE014AF-E98F-4AE9-8F97-93B3FBE4D30D}" name="Weekl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FE881E-CEA8-40D1-B3F9-86FD0ACFC7BB}" name="Table2" displayName="Table2" ref="A1:J5" totalsRowShown="0">
  <autoFilter ref="A1:J5" xr:uid="{AAFE881E-CEA8-40D1-B3F9-86FD0ACFC7BB}"/>
  <tableColumns count="10">
    <tableColumn id="1" xr3:uid="{87CAF68B-FAFB-4157-A5D4-F08C99098CA4}" name="Týden"/>
    <tableColumn id="2" xr3:uid="{582AEB08-76DB-4450-BE87-61D0AE82D853}" name="Slow cooker"/>
    <tableColumn id="3" xr3:uid="{B135B89D-13D1-4EA2-8940-405D8FC82763}" name="Počet porcí"/>
    <tableColumn id="4" xr3:uid="{3234843D-0CCB-4B94-8058-E6443F3BAAFF}" name="Trouba"/>
    <tableColumn id="5" xr3:uid="{E71B10E2-927B-4A5A-BF2B-0C24BC8BB4C8}" name="Počet porcí2"/>
    <tableColumn id="6" xr3:uid="{9BEA2CF9-D21A-40E2-846A-947472842A97}" name="Těsto"/>
    <tableColumn id="7" xr3:uid="{84A7B7DD-EA47-48CC-8DED-9B6A485757ED}" name="Počet porcí22"/>
    <tableColumn id="8" xr3:uid="{1151A82A-2BD9-43A3-9449-0A7FA8C99E67}" name="Plotna"/>
    <tableColumn id="9" xr3:uid="{C3D7B1D0-6C82-441F-8B85-4B91C0A323E5}" name="Počet porcí23"/>
    <tableColumn id="10" xr3:uid="{853BDD43-234A-4CC3-8A63-7D45011B406A}" name="Ostatní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5472A1-EA82-4A5D-B081-284B7C005E5E}" name="Table5" displayName="Table5" ref="A1:C15" totalsRowShown="0" headerRowCellStyle="Normal" dataCellStyle="Normal">
  <autoFilter ref="A1:C15" xr:uid="{275472A1-EA82-4A5D-B081-284B7C005E5E}"/>
  <tableColumns count="3">
    <tableColumn id="1" xr3:uid="{EE8DE8BE-9D27-48B7-B691-3F01C1C74FDC}" name="Jídlo" dataCellStyle="Normal"/>
    <tableColumn id="2" xr3:uid="{B1B0E279-D432-4B40-AF0C-B8B0E0FEE5DC}" name="Recept" dataCellStyle="Normal"/>
    <tableColumn id="3" xr3:uid="{0AEB2B41-8456-4D5D-8FE3-3C4D09D56E00}" name="Kalorické tabulky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www.kaloricketabulky.cz/user/settings/meal/detail/54481ac805e1471f94deb38bd71dbf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A7BF-27A4-4542-82F6-9EE518DF7C5D}">
  <dimension ref="A1:I76"/>
  <sheetViews>
    <sheetView tabSelected="1" workbookViewId="0">
      <selection activeCell="K11" sqref="K11"/>
    </sheetView>
  </sheetViews>
  <sheetFormatPr defaultRowHeight="15" x14ac:dyDescent="0.25"/>
  <cols>
    <col min="1" max="1" width="11" customWidth="1"/>
    <col min="2" max="2" width="23.7109375" bestFit="1" customWidth="1"/>
    <col min="3" max="3" width="21.7109375" bestFit="1" customWidth="1"/>
    <col min="4" max="4" width="17.85546875" customWidth="1"/>
    <col min="6" max="6" width="16.28515625" bestFit="1" customWidth="1"/>
    <col min="12" max="12" width="17" bestFit="1" customWidth="1"/>
    <col min="13" max="13" width="10.7109375" bestFit="1" customWidth="1"/>
    <col min="14" max="14" width="11.28515625" bestFit="1" customWidth="1"/>
    <col min="16" max="16" width="12.7109375" bestFit="1" customWidth="1"/>
    <col min="17" max="17" width="17.28515625" bestFit="1" customWidth="1"/>
    <col min="18" max="18" width="15.42578125" bestFit="1" customWidth="1"/>
  </cols>
  <sheetData>
    <row r="1" spans="1:9" x14ac:dyDescent="0.25">
      <c r="A1" s="5" t="s">
        <v>31</v>
      </c>
      <c r="B1" t="s">
        <v>28</v>
      </c>
      <c r="C1" t="s">
        <v>29</v>
      </c>
      <c r="D1" t="s">
        <v>30</v>
      </c>
      <c r="F1" t="s">
        <v>146</v>
      </c>
    </row>
    <row r="2" spans="1:9" x14ac:dyDescent="0.25">
      <c r="A2" s="5" t="s">
        <v>32</v>
      </c>
      <c r="B2" s="6" t="s">
        <v>43</v>
      </c>
      <c r="C2" s="1"/>
      <c r="D2" s="7" t="s">
        <v>11</v>
      </c>
      <c r="F2" t="s">
        <v>11</v>
      </c>
    </row>
    <row r="3" spans="1:9" x14ac:dyDescent="0.25">
      <c r="A3" s="5" t="s">
        <v>33</v>
      </c>
      <c r="B3" s="6" t="s">
        <v>134</v>
      </c>
      <c r="C3" s="1" t="s">
        <v>41</v>
      </c>
      <c r="D3" s="6" t="s">
        <v>26</v>
      </c>
      <c r="F3" t="s">
        <v>147</v>
      </c>
      <c r="I3" t="s">
        <v>20</v>
      </c>
    </row>
    <row r="4" spans="1:9" x14ac:dyDescent="0.25">
      <c r="A4" s="5" t="s">
        <v>34</v>
      </c>
      <c r="B4" s="1" t="s">
        <v>10</v>
      </c>
      <c r="C4" s="1"/>
      <c r="D4" s="1" t="s">
        <v>5</v>
      </c>
      <c r="F4" t="s">
        <v>148</v>
      </c>
      <c r="I4" t="s">
        <v>133</v>
      </c>
    </row>
    <row r="5" spans="1:9" x14ac:dyDescent="0.25">
      <c r="A5" s="5" t="s">
        <v>35</v>
      </c>
      <c r="B5" s="7" t="s">
        <v>80</v>
      </c>
      <c r="C5" s="1" t="s">
        <v>151</v>
      </c>
      <c r="D5" s="1" t="s">
        <v>42</v>
      </c>
      <c r="F5" t="s">
        <v>149</v>
      </c>
      <c r="H5" t="s">
        <v>173</v>
      </c>
      <c r="I5" t="s">
        <v>172</v>
      </c>
    </row>
    <row r="6" spans="1:9" x14ac:dyDescent="0.25">
      <c r="A6" s="5" t="s">
        <v>36</v>
      </c>
      <c r="B6" s="1" t="s">
        <v>79</v>
      </c>
      <c r="C6" s="1" t="s">
        <v>146</v>
      </c>
      <c r="D6" s="1"/>
      <c r="F6" t="s">
        <v>26</v>
      </c>
    </row>
    <row r="7" spans="1:9" x14ac:dyDescent="0.25">
      <c r="A7" s="5" t="s">
        <v>37</v>
      </c>
      <c r="B7" s="6" t="s">
        <v>108</v>
      </c>
      <c r="C7" s="1"/>
      <c r="D7" s="1"/>
      <c r="F7" t="s">
        <v>150</v>
      </c>
    </row>
    <row r="8" spans="1:9" x14ac:dyDescent="0.25">
      <c r="A8" s="5" t="s">
        <v>38</v>
      </c>
      <c r="B8" s="7" t="s">
        <v>9</v>
      </c>
      <c r="C8" s="1" t="s">
        <v>165</v>
      </c>
      <c r="D8" s="1"/>
      <c r="F8" t="s">
        <v>151</v>
      </c>
    </row>
    <row r="9" spans="1:9" x14ac:dyDescent="0.25">
      <c r="F9" t="s">
        <v>42</v>
      </c>
    </row>
    <row r="10" spans="1:9" x14ac:dyDescent="0.25">
      <c r="F10" t="s">
        <v>7</v>
      </c>
    </row>
    <row r="11" spans="1:9" x14ac:dyDescent="0.25">
      <c r="A11" s="5"/>
      <c r="F11" t="s">
        <v>6</v>
      </c>
    </row>
    <row r="12" spans="1:9" x14ac:dyDescent="0.25">
      <c r="A12" s="5"/>
      <c r="F12" t="s">
        <v>41</v>
      </c>
    </row>
    <row r="13" spans="1:9" x14ac:dyDescent="0.25">
      <c r="A13" s="5"/>
      <c r="B13" s="1"/>
      <c r="F13" t="s">
        <v>5</v>
      </c>
    </row>
    <row r="14" spans="1:9" x14ac:dyDescent="0.25">
      <c r="A14" s="5"/>
      <c r="B14" s="1"/>
    </row>
    <row r="15" spans="1:9" x14ac:dyDescent="0.25">
      <c r="A15" s="5"/>
      <c r="B15" s="1"/>
    </row>
    <row r="16" spans="1:9" x14ac:dyDescent="0.25">
      <c r="A16" s="5"/>
      <c r="B16" s="1"/>
    </row>
    <row r="17" spans="1:2" x14ac:dyDescent="0.25">
      <c r="A17" s="5"/>
      <c r="B17" s="7"/>
    </row>
    <row r="18" spans="1:2" x14ac:dyDescent="0.25">
      <c r="A18" s="5"/>
      <c r="B18" s="1"/>
    </row>
    <row r="51" spans="3:3" x14ac:dyDescent="0.25">
      <c r="C51" s="1"/>
    </row>
    <row r="72" spans="7:7" x14ac:dyDescent="0.25">
      <c r="G72" t="s">
        <v>13</v>
      </c>
    </row>
    <row r="73" spans="7:7" x14ac:dyDescent="0.25">
      <c r="G73" t="s">
        <v>14</v>
      </c>
    </row>
    <row r="74" spans="7:7" x14ac:dyDescent="0.25">
      <c r="G74" t="s">
        <v>15</v>
      </c>
    </row>
    <row r="75" spans="7:7" x14ac:dyDescent="0.25">
      <c r="G75" t="s">
        <v>16</v>
      </c>
    </row>
    <row r="76" spans="7:7" x14ac:dyDescent="0.25">
      <c r="G76" t="s">
        <v>17</v>
      </c>
    </row>
  </sheetData>
  <phoneticPr fontId="3" type="noConversion"/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0C6000-4611-469A-934D-5F61663E12F2}">
          <x14:formula1>
            <xm:f>Lookup!$A$2:$A$26</xm:f>
          </x14:formula1>
          <xm:sqref>D8 C2:D3 D4:D5 C5:C6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1346-C4F7-40BA-B2D5-141D677DC8A8}">
  <dimension ref="A1:C10"/>
  <sheetViews>
    <sheetView topLeftCell="A2" workbookViewId="0">
      <selection activeCell="B15" sqref="B15"/>
    </sheetView>
  </sheetViews>
  <sheetFormatPr defaultRowHeight="15" x14ac:dyDescent="0.25"/>
  <cols>
    <col min="1" max="1" width="10.85546875" bestFit="1" customWidth="1"/>
    <col min="2" max="2" width="53" bestFit="1" customWidth="1"/>
    <col min="3" max="3" width="37.28515625" bestFit="1" customWidth="1"/>
  </cols>
  <sheetData>
    <row r="1" spans="1:3" x14ac:dyDescent="0.25">
      <c r="A1" t="s">
        <v>31</v>
      </c>
      <c r="B1" t="s">
        <v>98</v>
      </c>
      <c r="C1" t="s">
        <v>78</v>
      </c>
    </row>
    <row r="2" spans="1:3" x14ac:dyDescent="0.25">
      <c r="A2" s="1" t="s">
        <v>32</v>
      </c>
      <c r="B2" t="s">
        <v>69</v>
      </c>
      <c r="C2" t="s">
        <v>104</v>
      </c>
    </row>
    <row r="3" spans="1:3" x14ac:dyDescent="0.25">
      <c r="A3" s="1" t="s">
        <v>33</v>
      </c>
      <c r="B3" t="s">
        <v>99</v>
      </c>
      <c r="C3" t="s">
        <v>70</v>
      </c>
    </row>
    <row r="4" spans="1:3" x14ac:dyDescent="0.25">
      <c r="A4" s="1" t="s">
        <v>34</v>
      </c>
      <c r="B4" t="s">
        <v>71</v>
      </c>
    </row>
    <row r="5" spans="1:3" x14ac:dyDescent="0.25">
      <c r="A5" s="1" t="s">
        <v>35</v>
      </c>
      <c r="B5" t="s">
        <v>100</v>
      </c>
    </row>
    <row r="6" spans="1:3" x14ac:dyDescent="0.25">
      <c r="A6" s="1" t="s">
        <v>36</v>
      </c>
      <c r="B6" t="s">
        <v>101</v>
      </c>
      <c r="C6" t="s">
        <v>103</v>
      </c>
    </row>
    <row r="7" spans="1:3" x14ac:dyDescent="0.25">
      <c r="A7" s="1" t="s">
        <v>37</v>
      </c>
      <c r="B7" t="s">
        <v>45</v>
      </c>
      <c r="C7" t="s">
        <v>102</v>
      </c>
    </row>
    <row r="8" spans="1:3" x14ac:dyDescent="0.25">
      <c r="A8" s="1" t="s">
        <v>38</v>
      </c>
      <c r="B8" t="s">
        <v>72</v>
      </c>
      <c r="C8" t="s">
        <v>97</v>
      </c>
    </row>
    <row r="10" spans="1:3" x14ac:dyDescent="0.25">
      <c r="A10" t="s">
        <v>105</v>
      </c>
      <c r="B10" t="s">
        <v>106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C13D-F40E-4689-8673-49C6382F166D}">
  <dimension ref="A1:C9"/>
  <sheetViews>
    <sheetView workbookViewId="0">
      <selection activeCell="C3" sqref="C3"/>
    </sheetView>
  </sheetViews>
  <sheetFormatPr defaultRowHeight="15" x14ac:dyDescent="0.25"/>
  <cols>
    <col min="1" max="1" width="21.85546875" bestFit="1" customWidth="1"/>
  </cols>
  <sheetData>
    <row r="1" spans="1:3" x14ac:dyDescent="0.25">
      <c r="A1" t="s">
        <v>59</v>
      </c>
      <c r="C1" t="s">
        <v>143</v>
      </c>
    </row>
    <row r="2" spans="1:3" x14ac:dyDescent="0.25">
      <c r="A2" t="s">
        <v>57</v>
      </c>
      <c r="C2" t="s">
        <v>144</v>
      </c>
    </row>
    <row r="3" spans="1:3" x14ac:dyDescent="0.25">
      <c r="A3" t="s">
        <v>58</v>
      </c>
    </row>
    <row r="4" spans="1:3" x14ac:dyDescent="0.25">
      <c r="A4" t="s">
        <v>65</v>
      </c>
    </row>
    <row r="5" spans="1:3" x14ac:dyDescent="0.25">
      <c r="A5" t="s">
        <v>110</v>
      </c>
    </row>
    <row r="6" spans="1:3" x14ac:dyDescent="0.25">
      <c r="A6" t="s">
        <v>66</v>
      </c>
    </row>
    <row r="7" spans="1:3" x14ac:dyDescent="0.25">
      <c r="A7" t="s">
        <v>67</v>
      </c>
    </row>
    <row r="8" spans="1:3" x14ac:dyDescent="0.25">
      <c r="A8" t="s">
        <v>68</v>
      </c>
    </row>
    <row r="9" spans="1:3" x14ac:dyDescent="0.25">
      <c r="A9" t="s">
        <v>109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9D56-8E05-4BC6-A07F-7F64FA56B274}">
  <dimension ref="A1:J10"/>
  <sheetViews>
    <sheetView workbookViewId="0">
      <selection activeCell="C13" sqref="C13"/>
    </sheetView>
  </sheetViews>
  <sheetFormatPr defaultRowHeight="15" x14ac:dyDescent="0.25"/>
  <cols>
    <col min="1" max="1" width="11.42578125" bestFit="1" customWidth="1"/>
    <col min="2" max="2" width="27.140625" bestFit="1" customWidth="1"/>
    <col min="3" max="3" width="11.42578125" bestFit="1" customWidth="1"/>
    <col min="4" max="4" width="26" bestFit="1" customWidth="1"/>
    <col min="5" max="5" width="11.42578125" bestFit="1" customWidth="1"/>
    <col min="6" max="6" width="23.85546875" bestFit="1" customWidth="1"/>
    <col min="7" max="7" width="11.42578125" bestFit="1" customWidth="1"/>
    <col min="8" max="8" width="27.42578125" bestFit="1" customWidth="1"/>
    <col min="9" max="9" width="11.42578125" bestFit="1" customWidth="1"/>
    <col min="10" max="10" width="19" bestFit="1" customWidth="1"/>
  </cols>
  <sheetData>
    <row r="1" spans="1:10" x14ac:dyDescent="0.25">
      <c r="A1" t="s">
        <v>73</v>
      </c>
      <c r="B1" t="s">
        <v>12</v>
      </c>
      <c r="C1" t="s">
        <v>74</v>
      </c>
      <c r="D1" t="s">
        <v>60</v>
      </c>
      <c r="E1" t="s">
        <v>75</v>
      </c>
      <c r="F1" t="s">
        <v>0</v>
      </c>
      <c r="G1" t="s">
        <v>76</v>
      </c>
      <c r="H1" t="s">
        <v>62</v>
      </c>
      <c r="I1" t="s">
        <v>77</v>
      </c>
      <c r="J1" t="s">
        <v>78</v>
      </c>
    </row>
    <row r="2" spans="1:10" x14ac:dyDescent="0.25">
      <c r="A2" t="s">
        <v>1</v>
      </c>
      <c r="B2" s="3" t="s">
        <v>64</v>
      </c>
      <c r="C2" t="s">
        <v>47</v>
      </c>
      <c r="E2" t="s">
        <v>47</v>
      </c>
      <c r="F2" t="s">
        <v>54</v>
      </c>
      <c r="G2" t="s">
        <v>47</v>
      </c>
      <c r="H2" t="s">
        <v>53</v>
      </c>
      <c r="I2" t="s">
        <v>47</v>
      </c>
      <c r="J2" t="s">
        <v>167</v>
      </c>
    </row>
    <row r="3" spans="1:10" x14ac:dyDescent="0.25">
      <c r="A3" t="s">
        <v>2</v>
      </c>
      <c r="B3" t="s">
        <v>49</v>
      </c>
      <c r="C3" t="s">
        <v>47</v>
      </c>
      <c r="D3" t="s">
        <v>55</v>
      </c>
      <c r="E3" t="s">
        <v>47</v>
      </c>
      <c r="F3" t="s">
        <v>61</v>
      </c>
      <c r="G3" t="s">
        <v>47</v>
      </c>
      <c r="H3" t="s">
        <v>63</v>
      </c>
      <c r="I3" t="s">
        <v>47</v>
      </c>
      <c r="J3" s="9" t="s">
        <v>51</v>
      </c>
    </row>
    <row r="4" spans="1:10" x14ac:dyDescent="0.25">
      <c r="A4" t="s">
        <v>3</v>
      </c>
      <c r="B4" s="4" t="s">
        <v>50</v>
      </c>
      <c r="C4" t="s">
        <v>47</v>
      </c>
      <c r="F4" t="s">
        <v>56</v>
      </c>
      <c r="G4" t="s">
        <v>47</v>
      </c>
      <c r="I4" t="s">
        <v>47</v>
      </c>
      <c r="J4" t="s">
        <v>166</v>
      </c>
    </row>
    <row r="5" spans="1:10" x14ac:dyDescent="0.25">
      <c r="A5" t="s">
        <v>4</v>
      </c>
      <c r="B5" s="3" t="s">
        <v>48</v>
      </c>
      <c r="C5" t="s">
        <v>47</v>
      </c>
      <c r="D5" s="4" t="s">
        <v>107</v>
      </c>
      <c r="J5" s="2" t="s">
        <v>52</v>
      </c>
    </row>
    <row r="7" spans="1:10" x14ac:dyDescent="0.25">
      <c r="B7" t="s">
        <v>168</v>
      </c>
      <c r="C7" t="s">
        <v>6</v>
      </c>
    </row>
    <row r="8" spans="1:10" x14ac:dyDescent="0.25">
      <c r="B8" t="s">
        <v>170</v>
      </c>
      <c r="C8" t="s">
        <v>5</v>
      </c>
      <c r="D8" t="s">
        <v>24</v>
      </c>
    </row>
    <row r="9" spans="1:10" x14ac:dyDescent="0.25">
      <c r="B9" t="s">
        <v>169</v>
      </c>
      <c r="C9" t="s">
        <v>147</v>
      </c>
      <c r="D9" t="s">
        <v>171</v>
      </c>
    </row>
    <row r="10" spans="1:10" x14ac:dyDescent="0.25">
      <c r="B10" t="s">
        <v>11</v>
      </c>
      <c r="C10" t="s">
        <v>107</v>
      </c>
      <c r="D10" t="s">
        <v>151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3FB1-13FF-432C-8C56-C73528F9D7B0}">
  <dimension ref="A1:C29"/>
  <sheetViews>
    <sheetView workbookViewId="0">
      <selection activeCell="C29" sqref="C29"/>
    </sheetView>
  </sheetViews>
  <sheetFormatPr defaultRowHeight="15" x14ac:dyDescent="0.25"/>
  <cols>
    <col min="1" max="1" width="18.28515625" bestFit="1" customWidth="1"/>
    <col min="3" max="3" width="18.7109375" bestFit="1" customWidth="1"/>
  </cols>
  <sheetData>
    <row r="1" spans="1:3" x14ac:dyDescent="0.25">
      <c r="A1" t="s">
        <v>81</v>
      </c>
      <c r="B1" t="s">
        <v>82</v>
      </c>
      <c r="C1" t="s">
        <v>86</v>
      </c>
    </row>
    <row r="2" spans="1:3" x14ac:dyDescent="0.25">
      <c r="A2" t="s">
        <v>26</v>
      </c>
      <c r="C2" t="s">
        <v>117</v>
      </c>
    </row>
    <row r="3" spans="1:3" x14ac:dyDescent="0.25">
      <c r="A3" t="s">
        <v>11</v>
      </c>
    </row>
    <row r="4" spans="1:3" x14ac:dyDescent="0.25">
      <c r="A4" t="s">
        <v>24</v>
      </c>
      <c r="C4" s="8" t="s">
        <v>119</v>
      </c>
    </row>
    <row r="5" spans="1:3" x14ac:dyDescent="0.25">
      <c r="A5" t="s">
        <v>8</v>
      </c>
      <c r="C5" t="s">
        <v>120</v>
      </c>
    </row>
    <row r="6" spans="1:3" x14ac:dyDescent="0.25">
      <c r="A6" t="s">
        <v>25</v>
      </c>
      <c r="C6" t="s">
        <v>87</v>
      </c>
    </row>
    <row r="7" spans="1:3" x14ac:dyDescent="0.25">
      <c r="A7" t="s">
        <v>7</v>
      </c>
      <c r="C7" t="s">
        <v>89</v>
      </c>
    </row>
    <row r="8" spans="1:3" x14ac:dyDescent="0.25">
      <c r="A8" t="s">
        <v>6</v>
      </c>
      <c r="C8" t="s">
        <v>121</v>
      </c>
    </row>
    <row r="9" spans="1:3" x14ac:dyDescent="0.25">
      <c r="A9" t="s">
        <v>5</v>
      </c>
      <c r="C9" t="s">
        <v>85</v>
      </c>
    </row>
    <row r="10" spans="1:3" x14ac:dyDescent="0.25">
      <c r="A10" t="s">
        <v>39</v>
      </c>
      <c r="C10" t="s">
        <v>118</v>
      </c>
    </row>
    <row r="11" spans="1:3" x14ac:dyDescent="0.25">
      <c r="A11" t="s">
        <v>18</v>
      </c>
      <c r="C11" t="s">
        <v>88</v>
      </c>
    </row>
    <row r="12" spans="1:3" x14ac:dyDescent="0.25">
      <c r="A12" t="s">
        <v>40</v>
      </c>
    </row>
    <row r="13" spans="1:3" x14ac:dyDescent="0.25">
      <c r="A13" t="s">
        <v>14</v>
      </c>
      <c r="C13" t="s">
        <v>90</v>
      </c>
    </row>
    <row r="14" spans="1:3" x14ac:dyDescent="0.25">
      <c r="A14" t="s">
        <v>41</v>
      </c>
      <c r="C14" t="s">
        <v>91</v>
      </c>
    </row>
    <row r="15" spans="1:3" x14ac:dyDescent="0.25">
      <c r="A15" t="s">
        <v>42</v>
      </c>
      <c r="C15" t="s">
        <v>116</v>
      </c>
    </row>
    <row r="17" spans="1:3" x14ac:dyDescent="0.25">
      <c r="A17" s="4" t="s">
        <v>27</v>
      </c>
      <c r="C17" t="s">
        <v>92</v>
      </c>
    </row>
    <row r="18" spans="1:3" x14ac:dyDescent="0.25">
      <c r="A18" s="3" t="s">
        <v>46</v>
      </c>
    </row>
    <row r="19" spans="1:3" x14ac:dyDescent="0.25">
      <c r="A19" s="4" t="s">
        <v>10</v>
      </c>
      <c r="C19" t="s">
        <v>93</v>
      </c>
    </row>
    <row r="20" spans="1:3" x14ac:dyDescent="0.25">
      <c r="A20" s="3" t="s">
        <v>80</v>
      </c>
      <c r="C20" t="s">
        <v>95</v>
      </c>
    </row>
    <row r="21" spans="1:3" x14ac:dyDescent="0.25">
      <c r="A21" s="4" t="s">
        <v>79</v>
      </c>
      <c r="C21" t="s">
        <v>94</v>
      </c>
    </row>
    <row r="22" spans="1:3" x14ac:dyDescent="0.25">
      <c r="A22" s="3" t="s">
        <v>9</v>
      </c>
    </row>
    <row r="23" spans="1:3" x14ac:dyDescent="0.25">
      <c r="A23" s="4" t="s">
        <v>43</v>
      </c>
      <c r="C23" t="s">
        <v>96</v>
      </c>
    </row>
    <row r="25" spans="1:3" x14ac:dyDescent="0.25">
      <c r="A25" s="4" t="s">
        <v>83</v>
      </c>
      <c r="C25" t="s">
        <v>111</v>
      </c>
    </row>
    <row r="26" spans="1:3" x14ac:dyDescent="0.25">
      <c r="A26" s="3" t="s">
        <v>44</v>
      </c>
      <c r="C26" t="s">
        <v>115</v>
      </c>
    </row>
    <row r="27" spans="1:3" x14ac:dyDescent="0.25">
      <c r="A27" s="4" t="s">
        <v>113</v>
      </c>
      <c r="C27" t="s">
        <v>112</v>
      </c>
    </row>
    <row r="28" spans="1:3" x14ac:dyDescent="0.25">
      <c r="A28" s="3" t="s">
        <v>84</v>
      </c>
      <c r="C28" t="s">
        <v>115</v>
      </c>
    </row>
    <row r="29" spans="1:3" x14ac:dyDescent="0.25">
      <c r="A29" s="2" t="s">
        <v>22</v>
      </c>
      <c r="C29" t="s">
        <v>114</v>
      </c>
    </row>
  </sheetData>
  <hyperlinks>
    <hyperlink ref="C4" r:id="rId1" xr:uid="{CECF5921-3202-4A3C-997C-8D9D82EC3389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F0AC-097B-4422-AF61-5E4EE73F2730}">
  <dimension ref="A1:F19"/>
  <sheetViews>
    <sheetView workbookViewId="0">
      <selection activeCell="A20" sqref="A20"/>
    </sheetView>
  </sheetViews>
  <sheetFormatPr defaultRowHeight="15" x14ac:dyDescent="0.25"/>
  <cols>
    <col min="1" max="1" width="64.85546875" bestFit="1" customWidth="1"/>
    <col min="6" max="6" width="12" bestFit="1" customWidth="1"/>
  </cols>
  <sheetData>
    <row r="1" spans="1:6" x14ac:dyDescent="0.25">
      <c r="A1" t="s">
        <v>19</v>
      </c>
    </row>
    <row r="2" spans="1:6" x14ac:dyDescent="0.25">
      <c r="A2" t="s">
        <v>21</v>
      </c>
    </row>
    <row r="3" spans="1:6" x14ac:dyDescent="0.25">
      <c r="A3" t="s">
        <v>23</v>
      </c>
    </row>
    <row r="4" spans="1:6" x14ac:dyDescent="0.25">
      <c r="A4" t="s">
        <v>122</v>
      </c>
      <c r="C4" t="s">
        <v>138</v>
      </c>
      <c r="D4">
        <v>47.43</v>
      </c>
      <c r="E4">
        <f>D4*4</f>
        <v>189.72</v>
      </c>
      <c r="F4">
        <f>E4/$E$7*100</f>
        <v>25.100882473572099</v>
      </c>
    </row>
    <row r="5" spans="1:6" x14ac:dyDescent="0.25">
      <c r="A5" t="s">
        <v>123</v>
      </c>
      <c r="C5" t="s">
        <v>139</v>
      </c>
      <c r="D5">
        <v>68.290000000000006</v>
      </c>
      <c r="E5">
        <f>D5*4</f>
        <v>273.16000000000003</v>
      </c>
      <c r="F5">
        <f t="shared" ref="F5:F6" si="0">E5/$E$7*100</f>
        <v>36.140401942235698</v>
      </c>
    </row>
    <row r="6" spans="1:6" x14ac:dyDescent="0.25">
      <c r="A6" t="s">
        <v>124</v>
      </c>
      <c r="C6" t="s">
        <v>140</v>
      </c>
      <c r="D6">
        <v>32.549999999999997</v>
      </c>
      <c r="E6">
        <f>D6*9</f>
        <v>292.95</v>
      </c>
      <c r="F6">
        <f t="shared" si="0"/>
        <v>38.758715584192217</v>
      </c>
    </row>
    <row r="7" spans="1:6" x14ac:dyDescent="0.25">
      <c r="A7" t="s">
        <v>125</v>
      </c>
      <c r="E7">
        <f>SUM(E4:E6)</f>
        <v>755.82999999999993</v>
      </c>
      <c r="F7">
        <f>SUM(F4:F6)</f>
        <v>100.00000000000001</v>
      </c>
    </row>
    <row r="8" spans="1:6" x14ac:dyDescent="0.25">
      <c r="A8" t="s">
        <v>126</v>
      </c>
    </row>
    <row r="9" spans="1:6" x14ac:dyDescent="0.25">
      <c r="A9" t="s">
        <v>127</v>
      </c>
    </row>
    <row r="10" spans="1:6" x14ac:dyDescent="0.25">
      <c r="A10" t="s">
        <v>128</v>
      </c>
    </row>
    <row r="11" spans="1:6" x14ac:dyDescent="0.25">
      <c r="A11" t="s">
        <v>129</v>
      </c>
    </row>
    <row r="12" spans="1:6" x14ac:dyDescent="0.25">
      <c r="A12" t="s">
        <v>130</v>
      </c>
    </row>
    <row r="13" spans="1:6" x14ac:dyDescent="0.25">
      <c r="A13" t="s">
        <v>131</v>
      </c>
    </row>
    <row r="14" spans="1:6" x14ac:dyDescent="0.25">
      <c r="A14" t="s">
        <v>132</v>
      </c>
    </row>
    <row r="15" spans="1:6" x14ac:dyDescent="0.25">
      <c r="A15" t="s">
        <v>135</v>
      </c>
    </row>
    <row r="16" spans="1:6" x14ac:dyDescent="0.25">
      <c r="A16" t="s">
        <v>136</v>
      </c>
    </row>
    <row r="17" spans="1:1" x14ac:dyDescent="0.25">
      <c r="A17" t="s">
        <v>137</v>
      </c>
    </row>
    <row r="18" spans="1:1" x14ac:dyDescent="0.25">
      <c r="A18" t="s">
        <v>141</v>
      </c>
    </row>
    <row r="19" spans="1:1" x14ac:dyDescent="0.25">
      <c r="A19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5EB3-B9DF-4F8C-974F-9B2DBFF9EE63}">
  <dimension ref="A1:J14"/>
  <sheetViews>
    <sheetView workbookViewId="0">
      <selection activeCell="A3" sqref="A3:B3"/>
    </sheetView>
  </sheetViews>
  <sheetFormatPr defaultRowHeight="15" x14ac:dyDescent="0.25"/>
  <cols>
    <col min="1" max="1" width="16.28515625" bestFit="1" customWidth="1"/>
    <col min="2" max="2" width="10.7109375" bestFit="1" customWidth="1"/>
    <col min="3" max="3" width="16.28515625" bestFit="1" customWidth="1"/>
  </cols>
  <sheetData>
    <row r="1" spans="1:10" x14ac:dyDescent="0.25">
      <c r="A1" s="1" t="s">
        <v>145</v>
      </c>
      <c r="B1" s="1" t="s">
        <v>152</v>
      </c>
      <c r="C1" s="1" t="s">
        <v>28</v>
      </c>
    </row>
    <row r="2" spans="1:10" x14ac:dyDescent="0.25">
      <c r="A2" s="11" t="s">
        <v>146</v>
      </c>
      <c r="B2" t="s">
        <v>154</v>
      </c>
      <c r="C2" t="s">
        <v>156</v>
      </c>
    </row>
    <row r="3" spans="1:10" x14ac:dyDescent="0.25">
      <c r="A3" s="11" t="s">
        <v>11</v>
      </c>
      <c r="B3" t="s">
        <v>155</v>
      </c>
      <c r="C3" t="s">
        <v>157</v>
      </c>
    </row>
    <row r="4" spans="1:10" x14ac:dyDescent="0.25">
      <c r="A4" s="10" t="s">
        <v>147</v>
      </c>
      <c r="B4" t="s">
        <v>153</v>
      </c>
      <c r="C4" t="s">
        <v>158</v>
      </c>
    </row>
    <row r="5" spans="1:10" x14ac:dyDescent="0.25">
      <c r="A5" s="10" t="s">
        <v>14</v>
      </c>
      <c r="B5" t="s">
        <v>153</v>
      </c>
      <c r="C5" t="s">
        <v>80</v>
      </c>
      <c r="E5" t="s">
        <v>153</v>
      </c>
    </row>
    <row r="6" spans="1:10" x14ac:dyDescent="0.25">
      <c r="A6" s="14" t="s">
        <v>149</v>
      </c>
      <c r="C6" t="s">
        <v>43</v>
      </c>
      <c r="E6" t="s">
        <v>83</v>
      </c>
      <c r="I6" s="10"/>
      <c r="J6" t="s">
        <v>163</v>
      </c>
    </row>
    <row r="7" spans="1:10" x14ac:dyDescent="0.25">
      <c r="A7" s="15" t="s">
        <v>26</v>
      </c>
      <c r="B7" t="s">
        <v>83</v>
      </c>
      <c r="C7" t="s">
        <v>134</v>
      </c>
      <c r="E7" t="s">
        <v>154</v>
      </c>
      <c r="I7" s="11"/>
      <c r="J7" t="s">
        <v>162</v>
      </c>
    </row>
    <row r="8" spans="1:10" x14ac:dyDescent="0.25">
      <c r="A8" s="15" t="s">
        <v>150</v>
      </c>
      <c r="B8" t="s">
        <v>159</v>
      </c>
      <c r="C8" t="s">
        <v>108</v>
      </c>
      <c r="E8" t="s">
        <v>155</v>
      </c>
      <c r="I8" s="12"/>
      <c r="J8" t="s">
        <v>161</v>
      </c>
    </row>
    <row r="9" spans="1:10" x14ac:dyDescent="0.25">
      <c r="A9" s="15" t="s">
        <v>151</v>
      </c>
      <c r="B9" t="s">
        <v>83</v>
      </c>
      <c r="E9" t="s">
        <v>159</v>
      </c>
      <c r="I9" s="13"/>
      <c r="J9" t="s">
        <v>164</v>
      </c>
    </row>
    <row r="10" spans="1:10" x14ac:dyDescent="0.25">
      <c r="A10" s="11" t="s">
        <v>42</v>
      </c>
      <c r="B10" t="s">
        <v>160</v>
      </c>
      <c r="E10" t="s">
        <v>160</v>
      </c>
    </row>
    <row r="11" spans="1:10" x14ac:dyDescent="0.25">
      <c r="A11" s="11" t="s">
        <v>7</v>
      </c>
      <c r="B11" t="s">
        <v>154</v>
      </c>
    </row>
    <row r="12" spans="1:10" x14ac:dyDescent="0.25">
      <c r="A12" s="10" t="s">
        <v>6</v>
      </c>
      <c r="B12" t="s">
        <v>160</v>
      </c>
    </row>
    <row r="13" spans="1:10" x14ac:dyDescent="0.25">
      <c r="A13" s="14" t="s">
        <v>41</v>
      </c>
    </row>
    <row r="14" spans="1:10" x14ac:dyDescent="0.25">
      <c r="A14" s="10" t="s">
        <v>5</v>
      </c>
      <c r="D1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Jídelníček</vt:lpstr>
      <vt:lpstr>Denní rozpis</vt:lpstr>
      <vt:lpstr>Týdenní rozpis</vt:lpstr>
      <vt:lpstr>Měsíční rozpis</vt:lpstr>
      <vt:lpstr>Recepty</vt:lpstr>
      <vt:lpstr>Upgrades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Vojtech Slansky</dc:creator>
  <cp:lastModifiedBy>Vojtech Slansky</cp:lastModifiedBy>
  <dcterms:created xsi:type="dcterms:W3CDTF">2026-01-22T08:26:31Z</dcterms:created>
  <dcterms:modified xsi:type="dcterms:W3CDTF">2026-02-17T10:01:08Z</dcterms:modified>
</cp:coreProperties>
</file>